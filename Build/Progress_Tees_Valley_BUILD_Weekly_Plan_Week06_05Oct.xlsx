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Weekly Plan" sheetId="1" state="visible" r:id="rId3"/>
    <sheet name="Students" sheetId="2" state="visible" r:id="rId4"/>
    <sheet name="Outcomes RAG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<sst xmlns="http://schemas.openxmlformats.org/spreadsheetml/2006/main" count="238" uniqueCount="184">
  <si>
    <t xml:space="preserve">Weekly Planner - To be submitted to Head of School prior to the start of each Half-Term</t>
  </si>
  <si>
    <t xml:space="preserve">Progress Schools  ·  linked to the 2026/27 Schemes of Work</t>
  </si>
  <si>
    <t xml:space="preserve">Pathway</t>
  </si>
  <si>
    <t xml:space="preserve">BUILD</t>
  </si>
  <si>
    <t xml:space="preserve">Week no.</t>
  </si>
  <si>
    <t xml:space="preserve">Term</t>
  </si>
  <si>
    <t xml:space="preserve">Autumn</t>
  </si>
  <si>
    <t xml:space="preserve">Group / class</t>
  </si>
  <si>
    <t xml:space="preserve">Theme</t>
  </si>
  <si>
    <t xml:space="preserve">Teacher</t>
  </si>
  <si>
    <t xml:space="preserve">Week commencing</t>
  </si>
  <si>
    <t xml:space="preserve">Reviewed by</t>
  </si>
  <si>
    <t xml:space="preserve">SMSC/BV this week: BHM continues — Build PSHE's stereotype work and English's identity poem land squarely in it.  World Mental Health Day Sat 10 Oct — observe Fri 9; ⚠ handle with care (§8.4: advance flag, opt-out, known-adult check-in — SEMH cohort) — assembly-led, classroom framing kept light.</t>
  </si>
  <si>
    <t xml:space="preserve">Subject</t>
  </si>
  <si>
    <t xml:space="preserve">SoW unit (this term)</t>
  </si>
  <si>
    <t xml:space="preserve">This week's outcome</t>
  </si>
  <si>
    <t xml:space="preserve">Activities</t>
  </si>
  <si>
    <t xml:space="preserve">Key vocabulary</t>
  </si>
  <si>
    <t xml:space="preserve">Resources required</t>
  </si>
  <si>
    <t xml:space="preserve">Assess. (F/S)</t>
  </si>
  <si>
    <t xml:space="preserve">Student adaptations</t>
  </si>
  <si>
    <t xml:space="preserve">Classroom support</t>
  </si>
  <si>
    <t xml:space="preserve">Evaluation (after teaching)</t>
  </si>
  <si>
    <t xml:space="preserve">English</t>
  </si>
  <si>
    <t xml:space="preserve">Identity &amp; Belonging: writing a clear paragraph about myself</t>
  </si>
  <si>
    <t xml:space="preserve">I can write a clear paragraph about my skills, interests and goals.</t>
  </si>
  <si>
    <t xml:space="preserve">Arrival: fix 3 sentences → model a short paragraph → plan: skill, interest, goal → write one paragraph → proofread capital letters/full stops.</t>
  </si>
  <si>
    <t xml:space="preserve">paragraph, skill, interest, goal, reason, proofread</t>
  </si>
  <si>
    <t xml:space="preserve">Model paragraph; planning grid; proofreading checklist; vocabulary mat.</t>
  </si>
  <si>
    <t xml:space="preserve">F</t>
  </si>
  <si>
    <t xml:space="preserve">Cloze paragraph option; sentence starters; typing/scribe option; spelling bank.</t>
  </si>
  <si>
    <t xml:space="preserve">TA helps students orally rehearse before writing. Teacher marks one accuracy target.</t>
  </si>
  <si>
    <t xml:space="preserve">Record writing accuracy and next SPaG focus.</t>
  </si>
  <si>
    <t xml:space="preserve">Maths</t>
  </si>
  <si>
    <t xml:space="preserve">Number, calculation &amp; fractions (Y5/6)</t>
  </si>
  <si>
    <t xml:space="preserve">I can use formal written methods to multiply 4-digit numbers by 1-digit and 2-digit numbers accurately.</t>
  </si>
  <si>
    <t xml:space="preserve">Review multiplication facts.
Teacher modelling of formal methods.
Guided multiplication practice.
Error analysis activities.
Functional problem-solving tasks.</t>
  </si>
  <si>
    <t xml:space="preserve">Multiply
Product
Exchange
Column method
Partial product
Calculate
Estimate</t>
  </si>
  <si>
    <t xml:space="preserve">Multiplication grids
Whiteboards
Worksheets
Calculators for checking</t>
  </si>
  <si>
    <t xml:space="preserve">Begin with 2-digit × 1-digit.
Structured multiplication templates.
Visual supports.
Challenge with reasoning and larger calculations.  Pupil A: choice of task &amp; seat, own table, quiet-space option, short 10–20-min goals, opt-out of group sharing. Pupil B: colourblind-safe — labels/patterns/position, never colour alone; movement; offer choice with a reason, not commands. Pupil C: fatigue-aware — soft re-entry after rest, TA checks understanding (he may tick at random), scribe/photo instead of writing. Pupil D: middle seat, fidget/scribble pad, short 10-min bursts, answer or visibly 'park' his questions.</t>
  </si>
  <si>
    <t xml:space="preserve">Step-by-step modelling.
Guided groups.
Individual feedback.</t>
  </si>
  <si>
    <t xml:space="preserve">Independent multiplication assessment.
Teacher observation.
Marked work.
Reasoning questions.</t>
  </si>
  <si>
    <t xml:space="preserve">Science</t>
  </si>
  <si>
    <t xml:space="preserve">Animals including humans: skeletons, movement &amp; nutrition (White Rose Science Y3) · Pearson Entry Level Science 8939 intro (supported entry) · ladders toward Grow ELC → GCSE Biology 1BI0 (Launch) · SoW Aut1·W6  [REALIGNED to SoW]</t>
  </si>
  <si>
    <t xml:space="preserve">I can say that animals cannot make their own food and must eat it.</t>
  </si>
  <si>
    <t xml:space="preserve">Hands-on &amp; catch-up-proof: 'point to the muscle' recap opens.  Arrival: a plant on the windowsill and a lunchbox — 'who made their own food?' I DO: model the difference — plants make food from light; animals (including us) must EAT it. WE DO: sort 'makes own food' / 'must eat' together. YOU DO: sort picture cards into the two hoops; take the photo. EXIT: point to something that must eat.  MISCONCEPTION (strike through): plants do NOT 'eat' soil.  LINK: LAUNCH begin enzymes this week — the whole room is on food &amp; the body for three weeks.</t>
  </si>
  <si>
    <t xml:space="preserve">food, eat, energy, nutrition, plant, animal, light, grow, make</t>
  </si>
  <si>
    <t xml:space="preserve">Plant; lunchbox; animal &amp; plant picture cards; 2 sorting hoops + symbol headers; camera; word mat.</t>
  </si>
  <si>
    <t xml:space="preserve">Tiered 3 ways at every step — scaffold, task version and evidence prompt (symbol-supported → sentence-stem → independent): same outcome, different rung. Hands-on route first; easy-read/symbol resources; chunked steps with modelling; movement built into every session.  Same hoops as W4 — the routine is now known, so the content can be new. High-success week by design.</t>
  </si>
  <si>
    <t xml:space="preserve">TA runs the hoop sort. Teacher keeps the plant on the desk all three nutrition weeks as the constant reference. LOOP [Feedback Policy]: Voice = sort/point/say [VF, ?] → Audience: say who must eat; [R] once received → EVIDENCE: hoop-sort photo, upload same day [E: science — daily EFL; banks ELC 8939].</t>
  </si>
  <si>
    <t xml:space="preserve">Note who over-extends 'eating' to plants.  → Influence: this is the foundation for W7's balanced diet — do not move on if the sort is insecure [NS].</t>
  </si>
  <si>
    <t xml:space="preserve">PSHE / RSE</t>
  </si>
  <si>
    <t xml:space="preserve">Identity, rights &amp; British values (PSHE Association KS3, adapted) · AQA UAS 'Rights &amp; responsibilities' · ladders toward Grow PSHE · SoW Aut1·W6</t>
  </si>
  <si>
    <t xml:space="preserve">I can spot a stereotype and disagree respectfully.</t>
  </si>
  <si>
    <t xml:space="preserve">Zones check-in settles the session.  'Guess who' reveals — profiles that defy assumptions (jobs, hobbies, backgrounds) → human barometer: agree/disagree statements walked, with respectful-disagreement stems practised ALOUD ('I see it differently because…') → make a split-image 'don't judge' poster or a 10-sec video → exit: use a stem for real, once.  EVIDENCE: poster/video + barometer photos (banks AQA UAS).  Links BHM and the Humanities migration unit.  GROW STRETCH: 'Going for Grow' card — where do stereotypes come from?</t>
  </si>
  <si>
    <t xml:space="preserve">stereotype, assume, judge, respect, disagree, opinion, fair</t>
  </si>
  <si>
    <t xml:space="preserve">Guess-who profile cards; barometer line + statements; split-image poster kits / phone for videos; stem cards; camera.</t>
  </si>
  <si>
    <t xml:space="preserve">Tiered 3 ways at every step — scaffold, task version and evidence prompt (symbol-supported → sentence-stem → independent): same outcome, different rung. Hands-on route first; easy-read/symbol resources; chunked steps with modelling; movement built into every session.  Statements pre-screened; walking replaces debating on the first rung; the stem card is carried, not memorised.  ⚠ World Mental Health Day Friday — keep framing light, opt-outs live.  Pupil A: choice of task &amp; seat, own table, quiet-space option, short 10–20-min goals, opt-out of group sharing. Pupil B: colourblind-safe — labels/patterns/position, never colour alone; movement; offer choice with a reason, not commands. Pupil C: fatigue-aware — soft re-entry after rest, TA checks understanding (he may tick at random), scribe/photo instead of writing. Pupil D: middle seat, fidget/scribble pad, short 10-min bursts, answer or visibly 'park' his questions.</t>
  </si>
  <si>
    <t xml:space="preserve">TA walks the barometer alongside and models the stem first.  LOOP [Feedback Policy]: Voice = walk/stem/make [VF] → Audience: name the respectful move back; [R] when a stem is used for real → EVIDENCE: poster/video, same day [E: BV mutual respect — daily EFL; banks AQA UAS].</t>
  </si>
  <si>
    <t xml:space="preserve">Influence: stem use in real disagreements is the win — track it across the week, not just the lesson [NS].</t>
  </si>
  <si>
    <t xml:space="preserve">RE</t>
  </si>
  <si>
    <t xml:space="preserve">Belief, festivals &amp; belonging (Kapow + RE, adapted) · ladders toward Grow RE · SoW Aut1·W6</t>
  </si>
  <si>
    <t xml:space="preserve">I can spot what our three festivals of light share.</t>
  </si>
  <si>
    <t xml:space="preserve">Festival face-off (respectful!) — giant floor grid, rows: light / story / food / values; teams place photo cards from Diwali, Hanukkah and Christmas into the right cells — every card labelled by NAME and symbol, never colour alone → stand back: say the sames out loud ('they all have…') → build the shared Festivals-of-Light display from three weeks of makes and photos → exit: one same + one different.  EVIDENCE: completed grid + display photos.  GROW STRETCH: 'Going for Grow' card — why might LIGHT matter to so many faiths?</t>
  </si>
  <si>
    <t xml:space="preserve">compare, same, different, festival, light, story, values, respect</t>
  </si>
  <si>
    <t xml:space="preserve">Giant floor grid; labelled photo cards from W3–5; the three weeks' makes; display wall space; camera.</t>
  </si>
  <si>
    <t xml:space="preserve">Tiered 3 ways at every step — scaffold, task version and evidence prompt (symbol-supported → sentence-stem → independent): same outcome, different rung. Hands-on route first; easy-read/symbol resources; chunked steps with modelling; movement built into every session.  Placing cards IS the comparing; 'they all have light' is a full first-rung answer; teams mixed so no pupil places alone.  Pupil A: choice of task &amp; seat, own table, quiet-space option, short 10–20-min goals, opt-out of group sharing. Pupil B: colourblind-safe — labels/patterns/position, never colour alone; movement; offer choice with a reason, not commands. Pupil C: fatigue-aware — soft re-entry after rest, TA checks understanding (he may tick at random), scribe/photo instead of writing. Pupil D: middle seat, fidget/scribble pad, short 10-min bursts, answer or visibly 'park' his questions.</t>
  </si>
  <si>
    <t xml:space="preserve">TA referees placements and captures the sames said aloud.  LOOP [Feedback Policy]: Voice = place/say a same [VF, ?] → Audience: name the comparison back; [R] once received → EVIDENCE: grid photo + display, same day [E: cultural — daily EFL].</t>
  </si>
  <si>
    <t xml:space="preserve">Influence: the grid is the W8 showcase centrepiece — photograph before it's dismantled; note who compares unprompted [NS].</t>
  </si>
  <si>
    <t xml:space="preserve">Humanities</t>
  </si>
  <si>
    <t xml:space="preserve">Migration &amp; identity in Britain (Kapow History, adapted) · NC KS2, supported · AQA UAS 'History around us' · ladders toward Grow Humanities · SoW Aut1·W6</t>
  </si>
  <si>
    <t xml:space="preserve">I can plan a short migration story using two of our sources.</t>
  </si>
  <si>
    <t xml:space="preserve">Arrival: order a jumbled 3-part story — beginning / middle / end picture strips → model 'First… Then… This meant…' with one source from the case files → we do: plan the first two boxes together using the class sources → you do: complete a picture-supported 3-box storyboard, choosing 2 sources from Weeks 2–4 (suitcase, photos, profile cards) → exit: read or say your first box to the TA.  EVIDENCE: the storyboard (banks AQA UAS).  GROW STRETCH: 'Going for Grow' card — add WHY your sources fit the story.</t>
  </si>
  <si>
    <t xml:space="preserve">story, plan, first, then, meant, source, beginning, end</t>
  </si>
  <si>
    <t xml:space="preserve">Jumbled story strips; 3-box storyboards; the term's source bank (W2–4 materials); glue/scribe support; camera.</t>
  </si>
  <si>
    <t xml:space="preserve">Tiered 3 ways at every step — scaffold, task version and evidence prompt (symbol-supported → sentence-stem → independent): same outcome, different rung. Hands-on route first; easy-read/symbol resources; chunked steps with modelling; movement built into every session.  Boxes are stuck from sources, not written; 'First… Then… This meant…' carried as a chant and a card; 2 boxes counts on the first rung.  Pupil A: choice of task &amp; seat, own table, quiet-space option, short 10–20-min goals, opt-out of group sharing. Pupil B: colourblind-safe — labels/patterns/position, never colour alone; movement; offer choice with a reason, not commands. Pupil C: fatigue-aware — soft re-entry after rest, TA checks understanding (he may tick at random), scribe/photo instead of writing. Pupil D: middle seat, fidget/scribble pad, short 10-min bursts, answer or visibly 'park' his questions.</t>
  </si>
  <si>
    <t xml:space="preserve">TA chants the frame and scribes box captions.  LOOP [Feedback Policy]: Voice = order/stick/say box one [VF, ?] → Audience: name the story shape back; [R] once received → EVIDENCE: storyboard photo, same day [E: humanities — daily EFL; banks AQA UAS].</t>
  </si>
  <si>
    <t xml:space="preserve">Influence: the storyboard is the W7 script — store safely; note who chooses sources with a reason [NS].</t>
  </si>
  <si>
    <t xml:space="preserve">Arts (Arts Award)</t>
  </si>
  <si>
    <t xml:space="preserve">Identity in art &amp; developing skills (Trinity Arts Award Explore, supported) · AQA UAS 'Creating artwork' · toward Explore completion → Bronze (Launch) · SoW Creative Arts</t>
  </si>
  <si>
    <t xml:space="preserve">I can find out about one artist and share a fact and a feeling.</t>
  </si>
  <si>
    <t xml:space="preserve">Arrival: 'which speaks to you?' — pick 1 of 3 projected works and point at why → model noting 1 fact + 1 feeling about an artist → we do: research one artist together (short video + big images) → you do: choose from a picture-supported artist menu (include a texture/installation artist and a light artist) and complete the log frame — stick the facts, record the feeling → exit: share your fact with a partner or the TA.  EVIDENCE: artist log page (Explore Part C).  GROW STRETCH: 'Going for Grow' card — add one opinion: do YOU rate them, and why?</t>
  </si>
  <si>
    <t xml:space="preserve">artist, fact, feeling, opinion, research, work, inspire</t>
  </si>
  <si>
    <t xml:space="preserve">Three projected works; artist videos + big images; picture-supported artist menu; log frames; talking tin; camera.</t>
  </si>
  <si>
    <t xml:space="preserve">Tiered 3 ways at every step — scaffold, task version and evidence prompt (symbol-supported → sentence-stem → independent): same outcome, different rung. Hands-on route first; easy-read/symbol resources; chunked steps with modelling; movement built into every session.  Research is watched and handled, not read; facts stuck from a fact bank; the feeling can be a face + word.  Pupil B: texture-led artists in the menu.  Pupil A: choice of task &amp; seat, own table, quiet-space option, short 10–20-min goals, opt-out of group sharing. Pupil B: colourblind-safe — labels/patterns/position, never colour alone; movement; offer choice with a reason, not commands. Pupil C: fatigue-aware — soft re-entry after rest, TA checks understanding (he may tick at random), scribe/photo instead of writing. Pupil D: middle seat, fidget/scribble pad, short 10-min bursts, answer or visibly 'park' his questions.</t>
  </si>
  <si>
    <t xml:space="preserve">TA runs the video stations and records feelings.  LOOP [Feedback Policy]: Voice = choose/stick/record [VF] → Audience: listen fully, name the fact back, then [R] → EVIDENCE: log page = accreditation evidence, same day [E: Arts Award].</t>
  </si>
  <si>
    <t xml:space="preserve">Influence: Part C banked — flag gaps in any pupil's Explore evidence now, while W7–8 can still catch them [NS].</t>
  </si>
  <si>
    <t xml:space="preserve">PE</t>
  </si>
  <si>
    <t xml:space="preserve">ASDAN PEQ (WellbLeE3)</t>
  </si>
  <si>
    <t xml:space="preserve">ASDAN PEQ · WellbLeE3 · Aut·W6 — E3.4 who and what supports me</t>
  </si>
  <si>
    <t xml:space="preserve">I can name people and things that support my learning.</t>
  </si>
  <si>
    <t xml:space="preserve">Arrival: 'my support hand' — five people/things around my hand. I DO: model my own. WE DO: name the adults in this room and what each helps with. YOU DO: complete your support hand; adult scribes; photo. E3.4 evidenced. LINK: doubles as the PSHE 'network of support' work — one activity, two subjects, one piece of evidence.</t>
  </si>
  <si>
    <t xml:space="preserve">support, help, adult, trusted, ask, network, people</t>
  </si>
  <si>
    <t xml:space="preserve">Support-hand template; staff photo cards; Evidence Binder; camera; PSHE network-of-support link.</t>
  </si>
  <si>
    <t xml:space="preserve">Support-hand template pre-printed with staff photos to place, not names to write; service introduced concretely (visit/photo of school nurse) not abstractly</t>
  </si>
  <si>
    <t xml:space="preserve">TA helps assemble the support hand; teacher verifies every pupil names ONE person (E3.3.3) and ONE service (E3.3.4) — the spec minimums; doubles as PSHE network evidence</t>
  </si>
  <si>
    <t xml:space="preserve">Slot 1 · Careers (ASDAN)</t>
  </si>
  <si>
    <t xml:space="preserve">Careers &amp; world of work — strengths to jobs (evidences ASDAN Living Independently M8; AQA UAS)</t>
  </si>
  <si>
    <t xml:space="preserve">I can prepare and ask a question to a worker visitor.</t>
  </si>
  <si>
    <t xml:space="preserve">Question-building frames → visitor Q&amp;A (in person/virtual) → record one answer that surprised me.</t>
  </si>
  <si>
    <t xml:space="preserve">strength, skill, job, worker, employer, routine, profile, evidence</t>
  </si>
  <si>
    <t xml:space="preserve">Strength cards; local jobs photo bank; profile posters; visitor link. W1 lesson: BUILD_L1_Careers_Strengths.html (evidence print incl. Yellow Box/WWW-EBI footer).</t>
  </si>
  <si>
    <t xml:space="preserve">Tiered 3 ways at every step; NEVER colour-only coding (Pupil B — pair every colour with a word/symbol); movement jobs &amp; pacing breaks built in (Pupil D); low-demand entry + fatigue watch, key tasks early in session (Pupil C); confidence-first low-stakes start, praise attempts before accuracy (Pupil A); photo/oral/scribed evidence accepted throughout.</t>
  </si>
  <si>
    <t xml:space="preserve">TA runs paired talk with stems; scribes for reluctant writers (note “TA scribed”); champions Pupil A early and often.</t>
  </si>
  <si>
    <t xml:space="preserve">Slot 2 · Vocational / D&amp;T (ASDAN)</t>
  </si>
  <si>
    <t xml:space="preserve">D&amp;T via ASDAN tasters: kitchen skills → Textiles design-make-evaluate (Aut1); Construction from Aut2</t>
  </si>
  <si>
    <t xml:space="preserve">I can complete my make and finish the edges.</t>
  </si>
  <si>
    <t xml:space="preserve">Assembly completed → edges finished → in-progress photos for the design-make-evaluate record.</t>
  </si>
  <si>
    <t xml:space="preserve">tool, safety, hygiene, recipe, fabric, join, design, evaluate</t>
  </si>
  <si>
    <t xml:space="preserve">Kitchen + tools, PPE, recipe cards; fabrics &amp; fastenings. W1 lesson: BUILD_L1_Vocational_Kitchen_Induction.html.</t>
  </si>
  <si>
    <t xml:space="preserve">TA runs safe-carry / wash-up stations; signs skill cards only when genuinely met; models every technique first.</t>
  </si>
  <si>
    <t xml:space="preserve">Slot 3 · PfA — ASDAN Living Independently</t>
  </si>
  <si>
    <t xml:space="preserve">ASDAN LI — M1 Earning &amp; Spending Money (Aut1) → M2 Keeping Track of Your Money (Aut2); Section A: 4 challenges over ~10 hrs = 1 credit per module</t>
  </si>
  <si>
    <t xml:space="preserve">Advertising and spending pressure: I can spot how ads and offers make us spend.</t>
  </si>
  <si>
    <t xml:space="preserve">Ad and offer sort (real flyers) → spot-the-pressure-trick round → my one resist-it tip.</t>
  </si>
  <si>
    <t xml:space="preserve">income, spending, wages, benefits, payslip, price, budget, bank</t>
  </si>
  <si>
    <t xml:space="preserve">Practice money + tins, payslip, price tags, money-map paper, spending diary; LI student book / e-portfolio. W1 lesson: BUILD_L1_LI_Where_Money_Comes_From.html.</t>
  </si>
  <si>
    <t xml:space="preserve">TA runs wage-packet counting 1:1; money talk stays judgement-free; NO personal family finances recorded.</t>
  </si>
  <si>
    <t xml:space="preserve">Slot 4 · PfA — ASDAN FoodWise</t>
  </si>
  <si>
    <t xml:space="preserve">ASDAN FoodWise — M1 Healthy Eating (Aut1) → M2 Basic Food Safety (Aut2); Section A: 4 challenges over ~10 hrs = 1 credit per module</t>
  </si>
  <si>
    <t xml:space="preserve">I can help build our healthy-eating display for World Food Day (16 Oct).</t>
  </si>
  <si>
    <t xml:space="preserve">Display build from the term's work → each pupil contributes and captions one item → group photo as evidence.</t>
  </si>
  <si>
    <t xml:space="preserve">food group, carbohydrate, protein, dairy, balance, label, hygiene, safety</t>
  </si>
  <si>
    <t xml:space="preserve">Eatwell mat + real foods, packaging for traffic-light labels, kitchen, display kit; FoodWise student book. SMSC anchor: World Food Day 16 Oct. W1 lesson: FW_L1_Food_Groups.html.</t>
  </si>
  <si>
    <t xml:space="preserve">TA runs food-handling hygiene checks; allergy list confirmed with the office before EVERY food session; photo evidence per pupil per practical.</t>
  </si>
  <si>
    <t xml:space="preserve">Slot 5 · Community A — Community Project &amp; Vocational</t>
  </si>
  <si>
    <t xml:space="preserve">Community Project &amp; Vocational — sustained local contribution; ASDAN/UAS community evidence. Trips/Visits policy applies to ALL off-site work (approval 4 weeks ahead, min. two staff).</t>
  </si>
  <si>
    <t xml:space="preserve">I can carry out an early project task in the community (off-site checks complete).</t>
  </si>
  <si>
    <t xml:space="preserve">First off-site session with allocated roles — trip approval, consents and 2-staff minimum confirmed beforehand.</t>
  </si>
  <si>
    <t xml:space="preserve">community, project, partner, role, responsibility, contribute, evidence</t>
  </si>
  <si>
    <t xml:space="preserve">Local partner venue; PPE as required; project log; camera. ICT embedded: digital project log.</t>
  </si>
  <si>
    <t xml:space="preserve">TA supports allocated roles and captures the weekly log; off-site checklist confirmed before leaving site every time.</t>
  </si>
  <si>
    <t xml:space="preserve">Slot 6 · Community B — Junior/Young Duke + Social Enterprise</t>
  </si>
  <si>
    <t xml:space="preserve">Junior/Young Duke (Capable Kids) challenge levels + community &amp; social enterprise action · AQA UAS “Personal challenge”.</t>
  </si>
  <si>
    <t xml:space="preserve">I can record challenge evidence properly (photo + comment).</t>
  </si>
  <si>
    <t xml:space="preserve">Log surgery: strengthen thin entries with comment-writing frames.</t>
  </si>
  <si>
    <t xml:space="preserve">challenge, pledge, evidence, resilience, kindness, independence</t>
  </si>
  <si>
    <t xml:space="preserve">Junior/Young Duke booklets (first aid, cookery, eco, independence challenges); challenge log; camera/tablet. SMSC anchors: Anti-Bullying Week 16–20 Nov, World Kindness Day 13 Nov.</t>
  </si>
  <si>
    <t xml:space="preserve">TA witnesses and photographs each challenge attempt; tutor signs off only genuinely met challenges; pledge wall kept current.</t>
  </si>
  <si>
    <t xml:space="preserve">Enrichment &amp; wider opportunities this week   (trips, visitors, themed days, SMSC calendar link, PfA / community)</t>
  </si>
  <si>
    <t xml:space="preserve">BHM continues.  Fri 9 Oct: World Mental Health Day observed — assembly-led, framing light (⚠ SEMH care flags).  PfA / community: local walk — outdoor regulation.</t>
  </si>
  <si>
    <t xml:space="preserve">Resources &amp; support to prepare before the week   (printing, kit, bookings, briefing the team)</t>
  </si>
  <si>
    <t xml:space="preserve">Print/prepare: 'Refugees' text/audio + line strips + emotion bank, offer pairs + calculators + estimate basket, W5 test kit + shared spreadsheet loaded on IWB, guess-who profiles + barometer statements + stem cards, giant floor grid + labelled festival cards, story strips + storyboards + source bank out, artist menu + log frames + videos.  ⚠ WMHD Fri — advance flag, known-adult check-ins.</t>
  </si>
  <si>
    <t xml:space="preserve">F = formative  ·  S = summative  ·  PfA = Preparing for Adulthood  </t>
  </si>
  <si>
    <t xml:space="preserve">Student Adaptations</t>
  </si>
  <si>
    <t xml:space="preserve">Name</t>
  </si>
  <si>
    <t xml:space="preserve">Year / KS</t>
  </si>
  <si>
    <t xml:space="preserve">Reading age band</t>
  </si>
  <si>
    <t xml:space="preserve">Communication / sensory needs</t>
  </si>
  <si>
    <t xml:space="preserve">Key scaffolds &amp; adaptations</t>
  </si>
  <si>
    <t xml:space="preserve">EHCP primary outcomes</t>
  </si>
  <si>
    <t xml:space="preserve">PfA focus</t>
  </si>
  <si>
    <t xml:space="preserve">Notes</t>
  </si>
  <si>
    <t xml:space="preserve">Pupil A</t>
  </si>
  <si>
    <t xml:space="preserve">KS4</t>
  </si>
  <si>
    <t xml:space="preserve">Pupil B</t>
  </si>
  <si>
    <t xml:space="preserve">Pupil C</t>
  </si>
  <si>
    <t xml:space="preserve">Pupil D</t>
  </si>
  <si>
    <t xml:space="preserve">Outcome Tracker </t>
  </si>
  <si>
    <t xml:space="preserve">Did everyone make progress and meet the outcome? </t>
  </si>
  <si>
    <t xml:space="preserve">GREEN</t>
  </si>
  <si>
    <t xml:space="preserve">All demonstrated progress &amp; achieved the outcome</t>
  </si>
  <si>
    <t xml:space="preserve">AMBER</t>
  </si>
  <si>
    <t xml:space="preserve">Partly met, revisit in class</t>
  </si>
  <si>
    <t xml:space="preserve">RED</t>
  </si>
  <si>
    <t xml:space="preserve">Not met, pick up through intervention</t>
  </si>
  <si>
    <t xml:space="preserve">Week (w/c)</t>
  </si>
  <si>
    <t xml:space="preserve">Outcome reviewed</t>
  </si>
  <si>
    <t xml:space="preserve">Marking / evidence</t>
  </si>
  <si>
    <t xml:space="preserve">RAG</t>
  </si>
  <si>
    <t xml:space="preserve">Students not yet secure</t>
  </si>
  <si>
    <t xml:space="preserve">Picked up via</t>
  </si>
  <si>
    <t xml:space="preserve">Action &amp; timescale</t>
  </si>
  <si>
    <t xml:space="preserve">I can carry out our test and help record the results.</t>
  </si>
  <si>
    <t xml:space="preserve">Students wrote a short personal paragraph using capital letters, full stops and at least one reason.</t>
  </si>
  <si>
    <t xml:space="preserve">PEQ portfolio: photos + scribed voice + witness statements</t>
  </si>
  <si>
    <t xml:space="preserve">PfA — ASDAN LI</t>
  </si>
  <si>
    <t xml:space="preserve">LI portfolio: challenge evidence + skills grid</t>
  </si>
  <si>
    <t xml:space="preserve">PfA — ASDAN FoodWise</t>
  </si>
  <si>
    <t xml:space="preserve">FoodWise portfolio: challenge evidence + photos</t>
  </si>
  <si>
    <t xml:space="preserve">This sheet:</t>
  </si>
  <si>
    <t xml:space="preserve">Green</t>
  </si>
  <si>
    <t xml:space="preserve">Amber</t>
  </si>
  <si>
    <t xml:space="preserve">Red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</si>
</sst>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\-mmm\-yy"/>
    <numFmt numFmtId="166" formatCode="yyyy\-mm\-dd\ h:mm:ss"/>
    <numFmt numFmtId="167" formatCode="General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sz val="10"/>
      <color rgb="FF566159"/>
      <name val="Arial"/>
      <family val="0"/>
      <charset val="1"/>
    </font>
    <font>
      <b val="true"/>
      <sz val="9"/>
      <color rgb="FF566159"/>
      <name val="Arial"/>
      <family val="0"/>
      <charset val="1"/>
    </font>
    <font>
      <b val="true"/>
      <sz val="10"/>
      <color rgb="FF1B2420"/>
      <name val="Arial"/>
      <family val="0"/>
      <charset val="1"/>
    </font>
    <font>
      <b val="true"/>
      <sz val="10"/>
      <color rgb="FF2E7D4F"/>
      <name val="Arial"/>
      <family val="0"/>
      <charset val="1"/>
    </font>
    <font>
      <sz val="9"/>
      <color rgb="FF2E2A5D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1B2420"/>
      <name val="Arial"/>
      <family val="0"/>
      <charset val="1"/>
    </font>
    <font>
      <sz val="9"/>
      <color rgb="FF000000"/>
      <name val="Arial"/>
      <family val="2"/>
      <charset val="1"/>
    </font>
    <font>
      <sz val="9"/>
      <color rgb="FF1B2420"/>
      <name val="Arial"/>
      <family val="0"/>
      <charset val="1"/>
    </font>
    <font>
      <sz val="9"/>
      <color rgb="FF1B2420"/>
      <name val="Arial"/>
      <family val="2"/>
      <charset val="1"/>
    </font>
    <font>
      <sz val="9"/>
      <color rgb="FF222222"/>
      <name val="Aptos"/>
      <family val="2"/>
      <charset val="1"/>
    </font>
    <font>
      <i val="true"/>
      <sz val="8"/>
      <color rgb="FF566159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6"/>
      <color rgb="FFFFFFFF"/>
      <name val="Arial"/>
      <family val="2"/>
      <charset val="1"/>
    </font>
    <font>
      <sz val="10"/>
      <name val="Arial"/>
      <family val="2"/>
      <charset val="1"/>
    </font>
    <font>
      <sz val="9"/>
      <name val="Arial"/>
      <family val="2"/>
      <charset val="1"/>
    </font>
    <font>
      <b val="true"/>
      <sz val="10"/>
      <color rgb="FFFFFFFF"/>
      <name val="Arial"/>
      <family val="0"/>
      <charset val="1"/>
    </font>
    <font>
      <sz val="8"/>
      <color rgb="FF566159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D6006E"/>
        <bgColor rgb="FF800080"/>
      </patternFill>
    </fill>
    <fill>
      <patternFill patternType="solid">
        <fgColor rgb="FFFBE3F0"/>
        <bgColor rgb="FFEFE9F2"/>
      </patternFill>
    </fill>
    <fill>
      <patternFill patternType="solid">
        <fgColor rgb="FFEFE9F2"/>
        <bgColor rgb="FFFBE3F0"/>
      </patternFill>
    </fill>
    <fill>
      <patternFill patternType="solid">
        <fgColor rgb="FFFFFFFF"/>
        <bgColor rgb="FFF4F7F3"/>
      </patternFill>
    </fill>
    <fill>
      <patternFill patternType="solid">
        <fgColor rgb="FFF4F7F3"/>
        <bgColor rgb="FFFFFFFF"/>
      </patternFill>
    </fill>
    <fill>
      <patternFill patternType="solid">
        <fgColor rgb="FF2E7D4F"/>
        <bgColor rgb="FF1F6F7A"/>
      </patternFill>
    </fill>
    <fill>
      <patternFill patternType="solid">
        <fgColor rgb="FFD9A227"/>
        <bgColor rgb="FFB8742A"/>
      </patternFill>
    </fill>
    <fill>
      <patternFill patternType="solid">
        <fgColor rgb="FFC0392B"/>
        <bgColor rgb="FF993366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3CDC1"/>
      </bottom>
      <diagonal/>
    </border>
    <border diagonalUp="false" diagonalDown="false">
      <left style="thin">
        <color rgb="FFC9C9D6"/>
      </left>
      <right style="thin">
        <color rgb="FFC9C9D6"/>
      </right>
      <top style="thin">
        <color rgb="FFC9C9D6"/>
      </top>
      <bottom style="thin">
        <color rgb="FFC9C9D6"/>
      </bottom>
      <diagonal/>
    </border>
    <border diagonalUp="false" diagonalDown="false">
      <left style="thin">
        <color rgb="FFC3CDC1"/>
      </left>
      <right style="thin">
        <color rgb="FFC3CDC1"/>
      </right>
      <top style="thin">
        <color rgb="FFC3CDC1"/>
      </top>
      <bottom style="thin">
        <color rgb="FFC3CDC1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5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6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6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5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5" borderId="3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6" borderId="3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1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0" fillId="5" borderId="3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6" fontId="0" fillId="6" borderId="3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1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21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21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name val="Arial"/>
        <charset val="1"/>
        <family val="0"/>
        <b val="1"/>
        <color rgb="FFFFFFFF"/>
      </font>
      <fill>
        <patternFill>
          <bgColor rgb="FF2E7D4F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B8742A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1F6F7A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D9A227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C0392B"/>
        </patternFill>
      </fill>
    </dxf>
  </dxfs>
  <colors>
    <indexedColors>
      <rgbColor rgb="FF000000"/>
      <rgbColor rgb="FFFFFFFF"/>
      <rgbColor rgb="FFD6006E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742A"/>
      <rgbColor rgb="FF800080"/>
      <rgbColor rgb="FF1F6F7A"/>
      <rgbColor rgb="FFC3CDC1"/>
      <rgbColor rgb="FF808080"/>
      <rgbColor rgb="FF9999FF"/>
      <rgbColor rgb="FF993366"/>
      <rgbColor rgb="FFF4F7F3"/>
      <rgbColor rgb="FFEFE9F2"/>
      <rgbColor rgb="FF660066"/>
      <rgbColor rgb="FFFF8080"/>
      <rgbColor rgb="FF0066CC"/>
      <rgbColor rgb="FFC9C9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BE3F0"/>
      <rgbColor rgb="FF3366FF"/>
      <rgbColor rgb="FF33CCCC"/>
      <rgbColor rgb="FF99CC00"/>
      <rgbColor rgb="FFFFCC00"/>
      <rgbColor rgb="FFD9A227"/>
      <rgbColor rgb="FFFF6600"/>
      <rgbColor rgb="FF566159"/>
      <rgbColor rgb="FF969696"/>
      <rgbColor rgb="FF003366"/>
      <rgbColor rgb="FF2E7D4F"/>
      <rgbColor rgb="FF1B2420"/>
      <rgbColor rgb="FF222222"/>
      <rgbColor rgb="FFC0392B"/>
      <rgbColor rgb="FF993366"/>
      <rgbColor rgb="FF333399"/>
      <rgbColor rgb="FF2E2A5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6006E"/>
    <pageSetUpPr fitToPage="false"/>
  </sheetPr>
  <dimension ref="A1:J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9" topLeftCell="A11" activePane="bottomLeft" state="frozen"/>
      <selection pane="topLeft" activeCell="A1" activeCellId="0" sqref="A1"/>
      <selection pane="bottomLeft" activeCell="C11" activeCellId="0" sqref="C11"/>
    </sheetView>
  </sheetViews>
  <sheetFormatPr defaultColWidth="8.5625" defaultRowHeight="14.2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0"/>
    <col collapsed="false" customWidth="true" hidden="false" outlineLevel="0" max="4" min="3" style="1" width="26"/>
    <col collapsed="false" customWidth="true" hidden="false" outlineLevel="0" max="5" min="5" style="1" width="16"/>
    <col collapsed="false" customWidth="true" hidden="false" outlineLevel="0" max="6" min="6" style="1" width="20"/>
    <col collapsed="false" customWidth="true" hidden="false" outlineLevel="0" max="7" min="7" style="1" width="10"/>
    <col collapsed="false" customWidth="true" hidden="false" outlineLevel="0" max="8" min="8" style="1" width="26"/>
    <col collapsed="false" customWidth="true" hidden="false" outlineLevel="0" max="10" min="9" style="1" width="22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4.2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4" customFormat="false" ht="19.5" hidden="false" customHeight="true" outlineLevel="0" collapsed="false">
      <c r="A4" s="4" t="s">
        <v>2</v>
      </c>
      <c r="B4" s="5" t="s">
        <v>3</v>
      </c>
      <c r="D4" s="1" t="n">
        <v>6</v>
      </c>
      <c r="F4" s="4" t="s">
        <v>4</v>
      </c>
      <c r="G4" s="5" t="n">
        <v>6</v>
      </c>
    </row>
    <row r="5" customFormat="false" ht="19.5" hidden="false" customHeight="true" outlineLevel="0" collapsed="false">
      <c r="A5" s="4" t="s">
        <v>5</v>
      </c>
      <c r="B5" s="5" t="s">
        <v>6</v>
      </c>
      <c r="F5" s="4" t="s">
        <v>7</v>
      </c>
      <c r="G5" s="5"/>
    </row>
    <row r="6" customFormat="false" ht="19.5" hidden="false" customHeight="true" outlineLevel="0" collapsed="false">
      <c r="A6" s="4" t="s">
        <v>8</v>
      </c>
      <c r="B6" s="6" t="str">
        <f aca="false">IF(B5="Autumn","Identity &amp; Belonging",IF(B5="Spring","Resilience &amp; Change",IF(B5="Summer","Our World, My Future","pick a term")))</f>
        <v>Identity &amp; Belonging</v>
      </c>
      <c r="C6" s="6"/>
      <c r="D6" s="6"/>
      <c r="F6" s="4" t="s">
        <v>9</v>
      </c>
      <c r="G6" s="5"/>
    </row>
    <row r="7" customFormat="false" ht="19.5" hidden="false" customHeight="true" outlineLevel="0" collapsed="false">
      <c r="A7" s="4" t="s">
        <v>10</v>
      </c>
      <c r="B7" s="7" t="n">
        <v>46300</v>
      </c>
      <c r="F7" s="4" t="s">
        <v>11</v>
      </c>
      <c r="G7" s="5"/>
    </row>
    <row r="8" customFormat="false" ht="45.75" hidden="false" customHeight="true" outlineLevel="0" collapsed="false">
      <c r="A8" s="8" t="s">
        <v>12</v>
      </c>
      <c r="B8" s="8"/>
      <c r="C8" s="8"/>
      <c r="D8" s="8"/>
      <c r="E8" s="8"/>
      <c r="F8" s="8"/>
      <c r="G8" s="8"/>
      <c r="H8" s="8"/>
      <c r="I8" s="8"/>
      <c r="J8" s="8"/>
    </row>
    <row r="9" customFormat="false" ht="30" hidden="false" customHeight="true" outlineLevel="0" collapsed="false">
      <c r="A9" s="9" t="s">
        <v>13</v>
      </c>
      <c r="B9" s="9" t="s">
        <v>14</v>
      </c>
      <c r="C9" s="9" t="s">
        <v>15</v>
      </c>
      <c r="D9" s="9" t="s">
        <v>16</v>
      </c>
      <c r="E9" s="9" t="s">
        <v>17</v>
      </c>
      <c r="F9" s="9" t="s">
        <v>18</v>
      </c>
      <c r="G9" s="9" t="s">
        <v>19</v>
      </c>
      <c r="H9" s="9" t="s">
        <v>20</v>
      </c>
      <c r="I9" s="9" t="s">
        <v>21</v>
      </c>
      <c r="J9" s="9" t="s">
        <v>22</v>
      </c>
    </row>
    <row r="10" customFormat="false" ht="45.75" hidden="false" customHeight="true" outlineLevel="0" collapsed="false">
      <c r="A10" s="10" t="s">
        <v>23</v>
      </c>
      <c r="B10" s="11" t="s">
        <v>24</v>
      </c>
      <c r="C10" s="11" t="s">
        <v>25</v>
      </c>
      <c r="D10" s="11" t="s">
        <v>26</v>
      </c>
      <c r="E10" s="11" t="s">
        <v>27</v>
      </c>
      <c r="F10" s="11" t="s">
        <v>28</v>
      </c>
      <c r="G10" s="12" t="s">
        <v>29</v>
      </c>
      <c r="H10" s="11" t="s">
        <v>30</v>
      </c>
      <c r="I10" s="11" t="s">
        <v>31</v>
      </c>
      <c r="J10" s="11" t="s">
        <v>32</v>
      </c>
    </row>
    <row r="11" customFormat="false" ht="330" hidden="false" customHeight="true" outlineLevel="0" collapsed="false">
      <c r="A11" s="13" t="s">
        <v>33</v>
      </c>
      <c r="B11" s="14" t="s">
        <v>34</v>
      </c>
      <c r="C11" s="14" t="s">
        <v>35</v>
      </c>
      <c r="D11" s="15" t="s">
        <v>36</v>
      </c>
      <c r="E11" s="15" t="s">
        <v>37</v>
      </c>
      <c r="F11" s="15" t="s">
        <v>38</v>
      </c>
      <c r="G11" s="14" t="s">
        <v>29</v>
      </c>
      <c r="H11" s="15" t="s">
        <v>39</v>
      </c>
      <c r="I11" s="15" t="s">
        <v>40</v>
      </c>
      <c r="J11" s="14" t="s">
        <v>41</v>
      </c>
    </row>
    <row r="12" customFormat="false" ht="339.75" hidden="false" customHeight="true" outlineLevel="0" collapsed="false">
      <c r="A12" s="10" t="s">
        <v>42</v>
      </c>
      <c r="B12" s="12" t="s">
        <v>43</v>
      </c>
      <c r="C12" s="16" t="s">
        <v>44</v>
      </c>
      <c r="D12" s="12" t="s">
        <v>45</v>
      </c>
      <c r="E12" s="12" t="s">
        <v>46</v>
      </c>
      <c r="F12" s="12" t="s">
        <v>47</v>
      </c>
      <c r="G12" s="12" t="s">
        <v>29</v>
      </c>
      <c r="H12" s="12" t="s">
        <v>48</v>
      </c>
      <c r="I12" s="12" t="s">
        <v>49</v>
      </c>
      <c r="J12" s="12" t="s">
        <v>50</v>
      </c>
    </row>
    <row r="13" customFormat="false" ht="330" hidden="false" customHeight="true" outlineLevel="0" collapsed="false">
      <c r="A13" s="13" t="s">
        <v>51</v>
      </c>
      <c r="B13" s="14" t="s">
        <v>52</v>
      </c>
      <c r="C13" s="14" t="s">
        <v>53</v>
      </c>
      <c r="D13" s="14" t="s">
        <v>54</v>
      </c>
      <c r="E13" s="14" t="s">
        <v>55</v>
      </c>
      <c r="F13" s="14" t="s">
        <v>56</v>
      </c>
      <c r="G13" s="14" t="s">
        <v>29</v>
      </c>
      <c r="H13" s="14" t="s">
        <v>57</v>
      </c>
      <c r="I13" s="14" t="s">
        <v>58</v>
      </c>
      <c r="J13" s="14" t="s">
        <v>59</v>
      </c>
    </row>
    <row r="14" customFormat="false" ht="330" hidden="false" customHeight="true" outlineLevel="0" collapsed="false">
      <c r="A14" s="10" t="s">
        <v>60</v>
      </c>
      <c r="B14" s="12" t="s">
        <v>61</v>
      </c>
      <c r="C14" s="16" t="s">
        <v>62</v>
      </c>
      <c r="D14" s="12" t="s">
        <v>63</v>
      </c>
      <c r="E14" s="12" t="s">
        <v>64</v>
      </c>
      <c r="F14" s="12" t="s">
        <v>65</v>
      </c>
      <c r="G14" s="12" t="s">
        <v>29</v>
      </c>
      <c r="H14" s="12" t="s">
        <v>66</v>
      </c>
      <c r="I14" s="12" t="s">
        <v>67</v>
      </c>
      <c r="J14" s="12" t="s">
        <v>68</v>
      </c>
    </row>
    <row r="15" customFormat="false" ht="330" hidden="false" customHeight="true" outlineLevel="0" collapsed="false">
      <c r="A15" s="13" t="s">
        <v>69</v>
      </c>
      <c r="B15" s="14" t="s">
        <v>70</v>
      </c>
      <c r="C15" s="16" t="s">
        <v>71</v>
      </c>
      <c r="D15" s="12" t="s">
        <v>72</v>
      </c>
      <c r="E15" s="12" t="s">
        <v>73</v>
      </c>
      <c r="F15" s="12" t="s">
        <v>74</v>
      </c>
      <c r="G15" s="12" t="s">
        <v>29</v>
      </c>
      <c r="H15" s="12" t="s">
        <v>75</v>
      </c>
      <c r="I15" s="12" t="s">
        <v>76</v>
      </c>
      <c r="J15" s="12" t="s">
        <v>77</v>
      </c>
    </row>
    <row r="16" customFormat="false" ht="330" hidden="false" customHeight="true" outlineLevel="0" collapsed="false">
      <c r="A16" s="10" t="s">
        <v>78</v>
      </c>
      <c r="B16" s="12" t="s">
        <v>79</v>
      </c>
      <c r="C16" s="16" t="s">
        <v>80</v>
      </c>
      <c r="D16" s="12" t="s">
        <v>81</v>
      </c>
      <c r="E16" s="12" t="s">
        <v>82</v>
      </c>
      <c r="F16" s="12" t="s">
        <v>83</v>
      </c>
      <c r="G16" s="12" t="s">
        <v>29</v>
      </c>
      <c r="H16" s="12" t="s">
        <v>84</v>
      </c>
      <c r="I16" s="12" t="s">
        <v>85</v>
      </c>
      <c r="J16" s="12" t="s">
        <v>86</v>
      </c>
    </row>
    <row r="17" customFormat="false" ht="45.75" hidden="false" customHeight="true" outlineLevel="0" collapsed="false">
      <c r="A17" s="13" t="s">
        <v>87</v>
      </c>
      <c r="B17" s="14"/>
      <c r="C17" s="14"/>
      <c r="D17" s="14"/>
      <c r="E17" s="14"/>
      <c r="F17" s="14"/>
      <c r="G17" s="14"/>
      <c r="H17" s="14"/>
      <c r="I17" s="14"/>
      <c r="J17" s="14"/>
    </row>
    <row r="18" customFormat="false" ht="45.75" hidden="false" customHeight="true" outlineLevel="0" collapsed="false">
      <c r="A18" s="10" t="s">
        <v>88</v>
      </c>
      <c r="B18" s="12" t="s">
        <v>89</v>
      </c>
      <c r="C18" s="12" t="s">
        <v>90</v>
      </c>
      <c r="D18" s="12" t="s">
        <v>91</v>
      </c>
      <c r="E18" s="12" t="s">
        <v>92</v>
      </c>
      <c r="F18" s="12" t="s">
        <v>93</v>
      </c>
      <c r="G18" s="12" t="s">
        <v>29</v>
      </c>
      <c r="H18" s="12" t="s">
        <v>94</v>
      </c>
      <c r="I18" s="12" t="s">
        <v>95</v>
      </c>
      <c r="J18" s="12"/>
    </row>
    <row r="19" customFormat="false" ht="45.75" hidden="false" customHeight="true" outlineLevel="0" collapsed="false">
      <c r="A19" s="10" t="s">
        <v>96</v>
      </c>
      <c r="B19" s="12" t="s">
        <v>97</v>
      </c>
      <c r="C19" s="12" t="s">
        <v>98</v>
      </c>
      <c r="D19" s="12" t="s">
        <v>99</v>
      </c>
      <c r="E19" s="12" t="s">
        <v>100</v>
      </c>
      <c r="F19" s="12" t="s">
        <v>101</v>
      </c>
      <c r="G19" s="12" t="s">
        <v>29</v>
      </c>
      <c r="H19" s="12" t="s">
        <v>102</v>
      </c>
      <c r="I19" s="12" t="s">
        <v>103</v>
      </c>
      <c r="J19" s="12"/>
    </row>
    <row r="20" customFormat="false" ht="45.75" hidden="false" customHeight="true" outlineLevel="0" collapsed="false">
      <c r="A20" s="10" t="s">
        <v>104</v>
      </c>
      <c r="B20" s="12" t="s">
        <v>105</v>
      </c>
      <c r="C20" s="12" t="s">
        <v>106</v>
      </c>
      <c r="D20" s="12" t="s">
        <v>107</v>
      </c>
      <c r="E20" s="12" t="s">
        <v>108</v>
      </c>
      <c r="F20" s="12" t="s">
        <v>109</v>
      </c>
      <c r="G20" s="12" t="s">
        <v>29</v>
      </c>
      <c r="H20" s="12" t="s">
        <v>102</v>
      </c>
      <c r="I20" s="12" t="s">
        <v>110</v>
      </c>
      <c r="J20" s="12"/>
    </row>
    <row r="21" customFormat="false" ht="45.75" hidden="false" customHeight="true" outlineLevel="0" collapsed="false">
      <c r="A21" s="10" t="s">
        <v>111</v>
      </c>
      <c r="B21" s="12" t="s">
        <v>112</v>
      </c>
      <c r="C21" s="12" t="s">
        <v>113</v>
      </c>
      <c r="D21" s="12" t="s">
        <v>114</v>
      </c>
      <c r="E21" s="12" t="s">
        <v>115</v>
      </c>
      <c r="F21" s="12" t="s">
        <v>116</v>
      </c>
      <c r="G21" s="12" t="s">
        <v>29</v>
      </c>
      <c r="H21" s="12" t="s">
        <v>102</v>
      </c>
      <c r="I21" s="12" t="s">
        <v>117</v>
      </c>
      <c r="J21" s="12"/>
    </row>
    <row r="22" customFormat="false" ht="45.75" hidden="false" customHeight="true" outlineLevel="0" collapsed="false">
      <c r="A22" s="10" t="s">
        <v>118</v>
      </c>
      <c r="B22" s="12" t="s">
        <v>119</v>
      </c>
      <c r="C22" s="12" t="s">
        <v>120</v>
      </c>
      <c r="D22" s="12" t="s">
        <v>121</v>
      </c>
      <c r="E22" s="12" t="s">
        <v>122</v>
      </c>
      <c r="F22" s="12" t="s">
        <v>123</v>
      </c>
      <c r="G22" s="12" t="s">
        <v>29</v>
      </c>
      <c r="H22" s="12" t="s">
        <v>102</v>
      </c>
      <c r="I22" s="12" t="s">
        <v>124</v>
      </c>
      <c r="J22" s="12"/>
    </row>
    <row r="23" customFormat="false" ht="45.75" hidden="false" customHeight="true" outlineLevel="0" collapsed="false">
      <c r="A23" s="10" t="s">
        <v>125</v>
      </c>
      <c r="B23" s="12" t="s">
        <v>126</v>
      </c>
      <c r="C23" s="12" t="s">
        <v>127</v>
      </c>
      <c r="D23" s="12" t="s">
        <v>128</v>
      </c>
      <c r="E23" s="12" t="s">
        <v>129</v>
      </c>
      <c r="F23" s="12" t="s">
        <v>130</v>
      </c>
      <c r="G23" s="12" t="s">
        <v>29</v>
      </c>
      <c r="H23" s="12" t="s">
        <v>102</v>
      </c>
      <c r="I23" s="12" t="s">
        <v>131</v>
      </c>
      <c r="J23" s="12"/>
    </row>
    <row r="24" customFormat="false" ht="45.75" hidden="false" customHeight="true" outlineLevel="0" collapsed="false">
      <c r="A24" s="10" t="s">
        <v>132</v>
      </c>
      <c r="B24" s="12" t="s">
        <v>133</v>
      </c>
      <c r="C24" s="12" t="s">
        <v>134</v>
      </c>
      <c r="D24" s="12" t="s">
        <v>135</v>
      </c>
      <c r="E24" s="12" t="s">
        <v>136</v>
      </c>
      <c r="F24" s="12" t="s">
        <v>137</v>
      </c>
      <c r="G24" s="12" t="s">
        <v>29</v>
      </c>
      <c r="H24" s="12" t="s">
        <v>102</v>
      </c>
      <c r="I24" s="12" t="s">
        <v>138</v>
      </c>
      <c r="J24" s="12"/>
    </row>
    <row r="26" customFormat="false" ht="18" hidden="false" customHeight="true" outlineLevel="0" collapsed="false">
      <c r="A26" s="17" t="s">
        <v>139</v>
      </c>
      <c r="B26" s="17"/>
      <c r="C26" s="17"/>
      <c r="D26" s="17"/>
      <c r="E26" s="17"/>
      <c r="F26" s="17"/>
      <c r="G26" s="17"/>
      <c r="H26" s="17"/>
      <c r="I26" s="17"/>
      <c r="J26" s="17"/>
    </row>
    <row r="27" customFormat="false" ht="39.75" hidden="false" customHeight="true" outlineLevel="0" collapsed="false">
      <c r="A27" s="18" t="s">
        <v>140</v>
      </c>
      <c r="B27" s="18"/>
      <c r="C27" s="18"/>
      <c r="D27" s="18"/>
      <c r="E27" s="18"/>
      <c r="F27" s="18"/>
      <c r="G27" s="18"/>
      <c r="H27" s="18"/>
      <c r="I27" s="18"/>
      <c r="J27" s="18"/>
    </row>
    <row r="28" customFormat="false" ht="18" hidden="false" customHeight="true" outlineLevel="0" collapsed="false">
      <c r="A28" s="17" t="s">
        <v>141</v>
      </c>
      <c r="B28" s="17"/>
      <c r="C28" s="17"/>
      <c r="D28" s="17"/>
      <c r="E28" s="17"/>
      <c r="F28" s="17"/>
      <c r="G28" s="17"/>
      <c r="H28" s="17"/>
      <c r="I28" s="17"/>
      <c r="J28" s="17"/>
    </row>
    <row r="29" customFormat="false" ht="39.75" hidden="false" customHeight="true" outlineLevel="0" collapsed="false">
      <c r="A29" s="19" t="s">
        <v>142</v>
      </c>
      <c r="B29" s="19"/>
      <c r="C29" s="19"/>
      <c r="D29" s="19"/>
      <c r="E29" s="19"/>
      <c r="F29" s="19"/>
      <c r="G29" s="19"/>
      <c r="H29" s="19"/>
      <c r="I29" s="19"/>
      <c r="J29" s="19"/>
    </row>
    <row r="30" customFormat="false" ht="18" hidden="false" customHeight="true" outlineLevel="0" collapsed="false">
      <c r="A30" s="20" t="s">
        <v>143</v>
      </c>
      <c r="B30" s="20"/>
      <c r="C30" s="20"/>
      <c r="D30" s="20"/>
      <c r="E30" s="20"/>
      <c r="F30" s="20"/>
      <c r="G30" s="20"/>
      <c r="H30" s="20"/>
      <c r="I30" s="20"/>
      <c r="J30" s="20"/>
    </row>
  </sheetData>
  <mergeCells count="9">
    <mergeCell ref="A1:J1"/>
    <mergeCell ref="A2:J2"/>
    <mergeCell ref="B6:D6"/>
    <mergeCell ref="A8:J8"/>
    <mergeCell ref="A26:J26"/>
    <mergeCell ref="A27:J27"/>
    <mergeCell ref="A28:J28"/>
    <mergeCell ref="A29:J29"/>
    <mergeCell ref="A30:J30"/>
  </mergeCells>
  <dataValidations count="4">
    <dataValidation allowBlank="true" error="Pick a value from the list." errorStyle="stop" errorTitle="Choose from the list" operator="between" showDropDown="false" showErrorMessage="false" showInputMessage="false" sqref="B4" type="list">
      <formula1>"BUILD,GROW,LAUNCH"</formula1>
      <formula2>0</formula2>
    </dataValidation>
    <dataValidation allowBlank="true" error="Pick a value from the list." errorStyle="stop" errorTitle="Choose from the list" operator="between" showDropDown="false" showErrorMessage="false" showInputMessage="false" sqref="B5" type="list">
      <formula1>"Autumn,Spring,Summer"</formula1>
      <formula2>0</formula2>
    </dataValidation>
    <dataValidation allowBlank="true" error="Pick a value from the list." errorStyle="stop" errorTitle="Choose from the list" operator="between" showDropDown="false" showErrorMessage="false" showInputMessage="false" sqref="A10:A18" type="list">
      <formula1>"English,Maths,Science,PSHE / RSE,RE,Humanities,Arts (Arts Award),PE,Careers / Vocational (ASDAN),Computing / Digital,Personal Development / PfA"</formula1>
      <formula2>0</formula2>
    </dataValidation>
    <dataValidation allowBlank="true" error="Pick a value from the list." errorStyle="stop" errorTitle="Choose from the list" operator="between" showDropDown="false" showErrorMessage="false" showInputMessage="false" sqref="G10:G18" type="list">
      <formula1>"F,S,F + 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6006E"/>
    <pageSetUpPr fitToPage="false"/>
  </sheetPr>
  <dimension ref="A1:I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D10" activeCellId="0" sqref="D10"/>
    </sheetView>
  </sheetViews>
  <sheetFormatPr defaultColWidth="8.5625" defaultRowHeight="14.2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1"/>
    <col collapsed="false" customWidth="true" hidden="false" outlineLevel="0" max="3" min="3" style="1" width="10"/>
    <col collapsed="false" customWidth="true" hidden="false" outlineLevel="0" max="4" min="4" style="1" width="15"/>
    <col collapsed="false" customWidth="true" hidden="false" outlineLevel="0" max="5" min="5" style="1" width="26"/>
    <col collapsed="false" customWidth="true" hidden="false" outlineLevel="0" max="7" min="6" style="1" width="36"/>
    <col collapsed="false" customWidth="true" hidden="false" outlineLevel="0" max="8" min="8" style="1" width="22"/>
    <col collapsed="false" customWidth="true" hidden="false" outlineLevel="0" max="9" min="9" style="1" width="26"/>
  </cols>
  <sheetData>
    <row r="1" customFormat="false" ht="25.5" hidden="false" customHeight="true" outlineLevel="0" collapsed="false">
      <c r="A1" s="21" t="s">
        <v>144</v>
      </c>
      <c r="B1" s="21"/>
      <c r="C1" s="21"/>
      <c r="D1" s="21"/>
      <c r="E1" s="21"/>
      <c r="F1" s="21"/>
      <c r="G1" s="21"/>
      <c r="H1" s="21"/>
      <c r="I1" s="21"/>
    </row>
    <row r="2" customFormat="false" ht="14.2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</row>
    <row r="4" customFormat="false" ht="27.75" hidden="false" customHeight="true" outlineLevel="0" collapsed="false">
      <c r="A4" s="9" t="s">
        <v>145</v>
      </c>
      <c r="B4" s="9" t="s">
        <v>2</v>
      </c>
      <c r="C4" s="9" t="s">
        <v>146</v>
      </c>
      <c r="D4" s="9" t="s">
        <v>147</v>
      </c>
      <c r="E4" s="9" t="s">
        <v>148</v>
      </c>
      <c r="F4" s="9" t="s">
        <v>149</v>
      </c>
      <c r="G4" s="9" t="s">
        <v>150</v>
      </c>
      <c r="H4" s="9" t="s">
        <v>151</v>
      </c>
      <c r="I4" s="9" t="s">
        <v>152</v>
      </c>
    </row>
    <row r="5" customFormat="false" ht="174.75" hidden="false" customHeight="true" outlineLevel="0" collapsed="false">
      <c r="A5" s="10" t="s">
        <v>153</v>
      </c>
      <c r="B5" s="12" t="s">
        <v>3</v>
      </c>
      <c r="C5" s="12" t="s">
        <v>154</v>
      </c>
      <c r="D5" s="22"/>
      <c r="E5" s="22"/>
      <c r="F5" s="22"/>
      <c r="G5" s="22"/>
      <c r="H5" s="22"/>
      <c r="I5" s="22"/>
    </row>
    <row r="6" customFormat="false" ht="174.75" hidden="false" customHeight="true" outlineLevel="0" collapsed="false">
      <c r="A6" s="10" t="s">
        <v>155</v>
      </c>
      <c r="B6" s="12" t="s">
        <v>3</v>
      </c>
      <c r="C6" s="12" t="s">
        <v>154</v>
      </c>
      <c r="D6" s="22"/>
      <c r="E6" s="22"/>
      <c r="F6" s="22"/>
      <c r="G6" s="22"/>
      <c r="H6" s="22"/>
      <c r="I6" s="22"/>
    </row>
    <row r="7" customFormat="false" ht="174.75" hidden="false" customHeight="true" outlineLevel="0" collapsed="false">
      <c r="A7" s="10" t="s">
        <v>156</v>
      </c>
      <c r="B7" s="12" t="s">
        <v>3</v>
      </c>
      <c r="C7" s="12" t="s">
        <v>154</v>
      </c>
      <c r="D7" s="22"/>
      <c r="E7" s="22"/>
      <c r="F7" s="22"/>
      <c r="G7" s="22"/>
      <c r="H7" s="22"/>
      <c r="I7" s="22"/>
    </row>
    <row r="8" customFormat="false" ht="174.75" hidden="false" customHeight="true" outlineLevel="0" collapsed="false">
      <c r="A8" s="10" t="s">
        <v>157</v>
      </c>
      <c r="B8" s="12" t="s">
        <v>3</v>
      </c>
      <c r="C8" s="12" t="s">
        <v>154</v>
      </c>
      <c r="D8" s="22"/>
      <c r="E8" s="22"/>
      <c r="F8" s="22"/>
      <c r="G8" s="22"/>
      <c r="H8" s="22"/>
      <c r="I8" s="22"/>
    </row>
    <row r="9" customFormat="false" ht="30" hidden="false" customHeight="true" outlineLevel="0" collapsed="false">
      <c r="A9" s="23"/>
      <c r="B9" s="23"/>
      <c r="C9" s="23"/>
      <c r="D9" s="23"/>
      <c r="E9" s="23"/>
      <c r="F9" s="23"/>
      <c r="G9" s="23"/>
      <c r="H9" s="23"/>
      <c r="I9" s="23"/>
    </row>
    <row r="10" customFormat="false" ht="30" hidden="false" customHeight="true" outlineLevel="0" collapsed="false">
      <c r="A10" s="24"/>
      <c r="B10" s="24"/>
      <c r="C10" s="24"/>
      <c r="D10" s="24"/>
      <c r="E10" s="24"/>
      <c r="F10" s="24"/>
      <c r="G10" s="24"/>
      <c r="H10" s="24"/>
      <c r="I10" s="24"/>
    </row>
    <row r="11" customFormat="false" ht="30" hidden="false" customHeight="true" outlineLevel="0" collapsed="false">
      <c r="A11" s="23"/>
      <c r="B11" s="23"/>
      <c r="C11" s="23"/>
      <c r="D11" s="23"/>
      <c r="E11" s="23"/>
      <c r="F11" s="23"/>
      <c r="G11" s="23"/>
      <c r="H11" s="23"/>
      <c r="I11" s="23"/>
    </row>
    <row r="12" customFormat="false" ht="30" hidden="false" customHeight="true" outlineLevel="0" collapsed="false">
      <c r="A12" s="24"/>
      <c r="B12" s="24"/>
      <c r="C12" s="24"/>
      <c r="D12" s="24"/>
      <c r="E12" s="24"/>
      <c r="F12" s="24"/>
      <c r="G12" s="24"/>
      <c r="H12" s="24"/>
      <c r="I12" s="24"/>
    </row>
    <row r="13" customFormat="false" ht="30" hidden="false" customHeight="true" outlineLevel="0" collapsed="false">
      <c r="A13" s="23"/>
      <c r="B13" s="23"/>
      <c r="C13" s="23"/>
      <c r="D13" s="23"/>
      <c r="E13" s="23"/>
      <c r="F13" s="23"/>
      <c r="G13" s="23"/>
      <c r="H13" s="23"/>
      <c r="I13" s="23"/>
    </row>
    <row r="14" customFormat="false" ht="30" hidden="false" customHeight="true" outlineLevel="0" collapsed="false">
      <c r="A14" s="24"/>
      <c r="B14" s="24"/>
      <c r="C14" s="24"/>
      <c r="D14" s="24"/>
      <c r="E14" s="24"/>
      <c r="F14" s="24"/>
      <c r="G14" s="24"/>
      <c r="H14" s="24"/>
      <c r="I14" s="24"/>
    </row>
    <row r="15" customFormat="false" ht="30" hidden="false" customHeight="true" outlineLevel="0" collapsed="false">
      <c r="A15" s="23"/>
      <c r="B15" s="23"/>
      <c r="C15" s="23"/>
      <c r="D15" s="23"/>
      <c r="E15" s="23"/>
      <c r="F15" s="23"/>
      <c r="G15" s="23"/>
      <c r="H15" s="23"/>
      <c r="I15" s="23"/>
    </row>
    <row r="16" customFormat="false" ht="30" hidden="false" customHeight="true" outlineLevel="0" collapsed="false">
      <c r="A16" s="24"/>
      <c r="B16" s="24"/>
      <c r="C16" s="24"/>
      <c r="D16" s="24"/>
      <c r="E16" s="24"/>
      <c r="F16" s="24"/>
      <c r="G16" s="24"/>
      <c r="H16" s="24"/>
      <c r="I16" s="24"/>
    </row>
    <row r="17" customFormat="false" ht="30" hidden="false" customHeight="true" outlineLevel="0" collapsed="false">
      <c r="A17" s="23"/>
      <c r="B17" s="23"/>
      <c r="C17" s="23"/>
      <c r="D17" s="23"/>
      <c r="E17" s="23"/>
      <c r="F17" s="23"/>
      <c r="G17" s="23"/>
      <c r="H17" s="23"/>
      <c r="I17" s="23"/>
    </row>
    <row r="18" customFormat="false" ht="30" hidden="false" customHeight="true" outlineLevel="0" collapsed="false">
      <c r="A18" s="24"/>
      <c r="B18" s="24"/>
      <c r="C18" s="24"/>
      <c r="D18" s="24"/>
      <c r="E18" s="24"/>
      <c r="F18" s="24"/>
      <c r="G18" s="24"/>
      <c r="H18" s="24"/>
      <c r="I18" s="24"/>
    </row>
    <row r="19" customFormat="false" ht="30" hidden="false" customHeight="true" outlineLevel="0" collapsed="false">
      <c r="A19" s="23"/>
      <c r="B19" s="23"/>
      <c r="C19" s="23"/>
      <c r="D19" s="23"/>
      <c r="E19" s="23"/>
      <c r="F19" s="23"/>
      <c r="G19" s="23"/>
      <c r="H19" s="23"/>
      <c r="I19" s="23"/>
    </row>
  </sheetData>
  <mergeCells count="2">
    <mergeCell ref="A1:I1"/>
    <mergeCell ref="A2:I2"/>
  </mergeCells>
  <conditionalFormatting sqref="B5:B19">
    <cfRule type="cellIs" priority="2" operator="equal" aboveAverage="0" equalAverage="0" bottom="0" percent="0" rank="0" text="" dxfId="0">
      <formula>"BUILD"</formula>
    </cfRule>
    <cfRule type="cellIs" priority="3" operator="equal" aboveAverage="0" equalAverage="0" bottom="0" percent="0" rank="0" text="" dxfId="1">
      <formula>"GROW"</formula>
    </cfRule>
    <cfRule type="cellIs" priority="4" operator="equal" aboveAverage="0" equalAverage="0" bottom="0" percent="0" rank="0" text="" dxfId="2">
      <formula>"LAUNCH"</formula>
    </cfRule>
  </conditionalFormatting>
  <dataValidations count="1">
    <dataValidation allowBlank="true" error="Pick a value from the list." errorStyle="stop" errorTitle="Choose from the list" operator="between" showDropDown="false" showErrorMessage="false" showInputMessage="false" sqref="B5:B19" type="list">
      <formula1>"BUILD,GROW,LAUNCH"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6006E"/>
    <pageSetUpPr fitToPage="false"/>
  </sheetPr>
  <dimension ref="A1:I26"/>
  <sheetViews>
    <sheetView showFormulas="false" showGridLines="fals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0" ySplit="5" topLeftCell="A8" activePane="bottomLeft" state="frozen"/>
      <selection pane="topLeft" activeCell="A1" activeCellId="0" sqref="A1"/>
      <selection pane="bottomLeft" activeCell="D10" activeCellId="0" sqref="D10"/>
    </sheetView>
  </sheetViews>
  <sheetFormatPr defaultColWidth="8.5625" defaultRowHeight="14.2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1"/>
    <col collapsed="false" customWidth="true" hidden="false" outlineLevel="0" max="3" min="3" style="1" width="16"/>
    <col collapsed="false" customWidth="true" hidden="false" outlineLevel="0" max="4" min="4" style="1" width="28"/>
    <col collapsed="false" customWidth="true" hidden="false" outlineLevel="0" max="5" min="5" style="1" width="24"/>
    <col collapsed="false" customWidth="true" hidden="false" outlineLevel="0" max="6" min="6" style="1" width="9"/>
    <col collapsed="false" customWidth="true" hidden="false" outlineLevel="0" max="7" min="7" style="1" width="24"/>
    <col collapsed="false" customWidth="true" hidden="false" outlineLevel="0" max="8" min="8" style="1" width="18"/>
    <col collapsed="false" customWidth="true" hidden="false" outlineLevel="0" max="9" min="9" style="1" width="26"/>
  </cols>
  <sheetData>
    <row r="1" customFormat="false" ht="25.5" hidden="false" customHeight="true" outlineLevel="0" collapsed="false">
      <c r="A1" s="25" t="s">
        <v>158</v>
      </c>
      <c r="B1" s="25"/>
      <c r="C1" s="25"/>
      <c r="D1" s="25"/>
      <c r="E1" s="25"/>
      <c r="F1" s="25"/>
      <c r="G1" s="25"/>
      <c r="H1" s="25"/>
      <c r="I1" s="25"/>
    </row>
    <row r="2" customFormat="false" ht="14.25" hidden="false" customHeight="true" outlineLevel="0" collapsed="false">
      <c r="A2" s="26" t="s">
        <v>159</v>
      </c>
      <c r="B2" s="26"/>
      <c r="C2" s="26"/>
      <c r="D2" s="26"/>
      <c r="E2" s="26"/>
      <c r="F2" s="26"/>
      <c r="G2" s="26"/>
      <c r="H2" s="26"/>
      <c r="I2" s="26"/>
    </row>
    <row r="3" customFormat="false" ht="18" hidden="false" customHeight="true" outlineLevel="0" collapsed="false">
      <c r="A3" s="27" t="s">
        <v>160</v>
      </c>
      <c r="B3" s="28" t="s">
        <v>161</v>
      </c>
      <c r="C3" s="28"/>
      <c r="D3" s="29" t="s">
        <v>162</v>
      </c>
      <c r="E3" s="28" t="s">
        <v>163</v>
      </c>
      <c r="F3" s="28"/>
      <c r="G3" s="30" t="s">
        <v>164</v>
      </c>
      <c r="H3" s="28" t="s">
        <v>165</v>
      </c>
      <c r="I3" s="28"/>
    </row>
    <row r="5" customFormat="false" ht="27.75" hidden="false" customHeight="true" outlineLevel="0" collapsed="false">
      <c r="A5" s="9" t="s">
        <v>166</v>
      </c>
      <c r="B5" s="9" t="s">
        <v>2</v>
      </c>
      <c r="C5" s="9" t="s">
        <v>13</v>
      </c>
      <c r="D5" s="9" t="s">
        <v>167</v>
      </c>
      <c r="E5" s="9" t="s">
        <v>168</v>
      </c>
      <c r="F5" s="9" t="s">
        <v>169</v>
      </c>
      <c r="G5" s="9" t="s">
        <v>170</v>
      </c>
      <c r="H5" s="9" t="s">
        <v>171</v>
      </c>
      <c r="I5" s="9" t="s">
        <v>172</v>
      </c>
    </row>
    <row r="6" customFormat="false" ht="30" hidden="false" customHeight="true" outlineLevel="0" collapsed="false">
      <c r="A6" s="31" t="n">
        <v>46300</v>
      </c>
      <c r="B6" s="12" t="s">
        <v>3</v>
      </c>
      <c r="C6" s="12" t="s">
        <v>42</v>
      </c>
      <c r="D6" s="12" t="s">
        <v>173</v>
      </c>
      <c r="E6" s="12"/>
      <c r="F6" s="12"/>
      <c r="G6" s="12"/>
      <c r="H6" s="12"/>
      <c r="I6" s="12"/>
    </row>
    <row r="7" customFormat="false" ht="30" hidden="false" customHeight="true" outlineLevel="0" collapsed="false">
      <c r="A7" s="31" t="n">
        <v>46300</v>
      </c>
      <c r="B7" s="12" t="s">
        <v>3</v>
      </c>
      <c r="C7" s="12" t="s">
        <v>51</v>
      </c>
      <c r="D7" s="12" t="s">
        <v>53</v>
      </c>
      <c r="E7" s="12"/>
      <c r="F7" s="12"/>
      <c r="G7" s="12"/>
      <c r="H7" s="12"/>
      <c r="I7" s="12"/>
    </row>
    <row r="8" customFormat="false" ht="30" hidden="false" customHeight="true" outlineLevel="0" collapsed="false">
      <c r="A8" s="31" t="n">
        <v>46300</v>
      </c>
      <c r="B8" s="12" t="s">
        <v>3</v>
      </c>
      <c r="C8" s="12" t="s">
        <v>69</v>
      </c>
      <c r="D8" s="12" t="s">
        <v>71</v>
      </c>
      <c r="E8" s="12"/>
      <c r="F8" s="12"/>
      <c r="G8" s="12"/>
      <c r="H8" s="12"/>
      <c r="I8" s="12"/>
    </row>
    <row r="9" customFormat="false" ht="30" hidden="false" customHeight="true" outlineLevel="0" collapsed="false">
      <c r="A9" s="31" t="n">
        <v>46300</v>
      </c>
      <c r="B9" s="12" t="s">
        <v>3</v>
      </c>
      <c r="C9" s="12" t="s">
        <v>78</v>
      </c>
      <c r="D9" s="12" t="s">
        <v>80</v>
      </c>
      <c r="E9" s="12"/>
      <c r="F9" s="12"/>
      <c r="G9" s="12"/>
      <c r="H9" s="12"/>
      <c r="I9" s="12"/>
    </row>
    <row r="10" customFormat="false" ht="30" hidden="false" customHeight="true" outlineLevel="0" collapsed="false">
      <c r="A10" s="31" t="n">
        <v>46300</v>
      </c>
      <c r="B10" s="12" t="s">
        <v>3</v>
      </c>
      <c r="C10" s="32" t="s">
        <v>33</v>
      </c>
      <c r="D10" s="14" t="s">
        <v>35</v>
      </c>
      <c r="E10" s="24"/>
      <c r="F10" s="24"/>
      <c r="G10" s="24"/>
      <c r="H10" s="24"/>
      <c r="I10" s="24"/>
    </row>
    <row r="11" customFormat="false" ht="30" hidden="false" customHeight="true" outlineLevel="0" collapsed="false">
      <c r="A11" s="31" t="n">
        <v>46300</v>
      </c>
      <c r="B11" s="12" t="s">
        <v>3</v>
      </c>
      <c r="C11" s="33" t="s">
        <v>60</v>
      </c>
      <c r="D11" s="16" t="s">
        <v>62</v>
      </c>
      <c r="E11" s="23"/>
      <c r="F11" s="23"/>
      <c r="G11" s="23"/>
      <c r="H11" s="23"/>
      <c r="I11" s="23"/>
    </row>
    <row r="12" customFormat="false" ht="30" hidden="false" customHeight="true" outlineLevel="0" collapsed="false">
      <c r="A12" s="31" t="n">
        <v>46300</v>
      </c>
      <c r="B12" s="32" t="s">
        <v>3</v>
      </c>
      <c r="C12" s="32" t="s">
        <v>23</v>
      </c>
      <c r="D12" s="11" t="s">
        <v>174</v>
      </c>
      <c r="E12" s="24"/>
      <c r="F12" s="24"/>
      <c r="G12" s="24"/>
      <c r="H12" s="24"/>
      <c r="I12" s="24"/>
    </row>
    <row r="13" customFormat="false" ht="30" hidden="false" customHeight="true" outlineLevel="0" collapsed="false">
      <c r="A13" s="34" t="n">
        <v>46300</v>
      </c>
      <c r="B13" s="33" t="s">
        <v>3</v>
      </c>
      <c r="C13" s="33" t="s">
        <v>88</v>
      </c>
      <c r="D13" s="23" t="s">
        <v>90</v>
      </c>
      <c r="E13" s="23" t="s">
        <v>175</v>
      </c>
      <c r="F13" s="23"/>
      <c r="G13" s="23"/>
      <c r="H13" s="23"/>
      <c r="I13" s="23"/>
    </row>
    <row r="14" customFormat="false" ht="30" hidden="false" customHeight="true" outlineLevel="0" collapsed="false">
      <c r="A14" s="35" t="n">
        <v>46300</v>
      </c>
      <c r="B14" s="32" t="s">
        <v>3</v>
      </c>
      <c r="C14" s="32" t="s">
        <v>176</v>
      </c>
      <c r="D14" s="24" t="s">
        <v>113</v>
      </c>
      <c r="E14" s="24" t="s">
        <v>177</v>
      </c>
      <c r="F14" s="24"/>
      <c r="G14" s="24"/>
      <c r="H14" s="24"/>
      <c r="I14" s="24"/>
    </row>
    <row r="15" customFormat="false" ht="25.5" hidden="false" customHeight="true" outlineLevel="0" collapsed="false">
      <c r="A15" s="34" t="n">
        <v>46300</v>
      </c>
      <c r="B15" s="33" t="s">
        <v>3</v>
      </c>
      <c r="C15" s="33" t="s">
        <v>178</v>
      </c>
      <c r="D15" s="23" t="s">
        <v>120</v>
      </c>
      <c r="E15" s="23" t="s">
        <v>179</v>
      </c>
      <c r="F15" s="23"/>
      <c r="G15" s="23"/>
      <c r="H15" s="23"/>
      <c r="I15" s="23"/>
    </row>
    <row r="16" customFormat="false" ht="25.5" hidden="false" customHeight="true" outlineLevel="0" collapsed="false">
      <c r="A16" s="24"/>
      <c r="B16" s="32"/>
      <c r="C16" s="32"/>
      <c r="D16" s="24"/>
      <c r="E16" s="24"/>
      <c r="F16" s="24"/>
      <c r="G16" s="24"/>
      <c r="H16" s="24"/>
      <c r="I16" s="24"/>
    </row>
    <row r="17" customFormat="false" ht="25.5" hidden="false" customHeight="true" outlineLevel="0" collapsed="false">
      <c r="A17" s="23"/>
      <c r="B17" s="33"/>
      <c r="C17" s="33"/>
      <c r="D17" s="23"/>
      <c r="E17" s="23"/>
      <c r="F17" s="23"/>
      <c r="G17" s="23"/>
      <c r="H17" s="23"/>
      <c r="I17" s="23"/>
    </row>
    <row r="18" customFormat="false" ht="25.5" hidden="false" customHeight="true" outlineLevel="0" collapsed="false">
      <c r="A18" s="24"/>
      <c r="B18" s="32"/>
      <c r="C18" s="32"/>
      <c r="D18" s="24"/>
      <c r="E18" s="24"/>
      <c r="F18" s="24"/>
      <c r="G18" s="24"/>
      <c r="H18" s="24"/>
      <c r="I18" s="24"/>
    </row>
    <row r="19" customFormat="false" ht="25.5" hidden="false" customHeight="true" outlineLevel="0" collapsed="false">
      <c r="A19" s="23"/>
      <c r="B19" s="33"/>
      <c r="C19" s="33"/>
      <c r="D19" s="23"/>
      <c r="E19" s="23"/>
      <c r="F19" s="23"/>
      <c r="G19" s="23"/>
      <c r="H19" s="23"/>
      <c r="I19" s="23"/>
    </row>
    <row r="20" customFormat="false" ht="25.5" hidden="false" customHeight="true" outlineLevel="0" collapsed="false">
      <c r="A20" s="24"/>
      <c r="B20" s="32"/>
      <c r="C20" s="32"/>
      <c r="D20" s="24"/>
      <c r="E20" s="24"/>
      <c r="F20" s="24"/>
      <c r="G20" s="24"/>
      <c r="H20" s="24"/>
      <c r="I20" s="24"/>
    </row>
    <row r="21" customFormat="false" ht="25.5" hidden="false" customHeight="true" outlineLevel="0" collapsed="false">
      <c r="A21" s="23"/>
      <c r="B21" s="33"/>
      <c r="C21" s="33"/>
      <c r="D21" s="23"/>
      <c r="E21" s="23"/>
      <c r="F21" s="23"/>
      <c r="G21" s="23"/>
      <c r="H21" s="23"/>
      <c r="I21" s="23"/>
    </row>
    <row r="22" customFormat="false" ht="25.5" hidden="false" customHeight="true" outlineLevel="0" collapsed="false"/>
    <row r="23" customFormat="false" ht="25.5" hidden="false" customHeight="true" outlineLevel="0" collapsed="false">
      <c r="C23" s="36" t="s">
        <v>180</v>
      </c>
      <c r="D23" s="37" t="n">
        <f aca="false">COUNTIF($F$6:$F$18,"Green")</f>
        <v>0</v>
      </c>
      <c r="E23" s="38" t="n">
        <f aca="false">COUNTIF($F$6:$F$18,"Amber")</f>
        <v>0</v>
      </c>
      <c r="F23" s="39" t="n">
        <f aca="false">COUNTIF($F$6:$F$18,"Red")</f>
        <v>0</v>
      </c>
    </row>
    <row r="24" customFormat="false" ht="25.5" hidden="false" customHeight="true" outlineLevel="0" collapsed="false">
      <c r="D24" s="40" t="s">
        <v>181</v>
      </c>
      <c r="E24" s="40" t="s">
        <v>182</v>
      </c>
      <c r="F24" s="40" t="s">
        <v>183</v>
      </c>
    </row>
    <row r="25" customFormat="false" ht="25.5" hidden="false" customHeight="true" outlineLevel="0" collapsed="false"/>
    <row r="26" customFormat="false" ht="25.5" hidden="false" customHeight="true" outlineLevel="0" collapsed="false"/>
  </sheetData>
  <mergeCells count="5">
    <mergeCell ref="A1:I1"/>
    <mergeCell ref="A2:I2"/>
    <mergeCell ref="B3:C3"/>
    <mergeCell ref="E3:F3"/>
    <mergeCell ref="H3:I3"/>
  </mergeCells>
  <conditionalFormatting sqref="F6:F26">
    <cfRule type="cellIs" priority="2" operator="equal" aboveAverage="0" equalAverage="0" bottom="0" percent="0" rank="0" text="" dxfId="0">
      <formula>"Green"</formula>
    </cfRule>
    <cfRule type="cellIs" priority="3" operator="equal" aboveAverage="0" equalAverage="0" bottom="0" percent="0" rank="0" text="" dxfId="3">
      <formula>"Amber"</formula>
    </cfRule>
    <cfRule type="cellIs" priority="4" operator="equal" aboveAverage="0" equalAverage="0" bottom="0" percent="0" rank="0" text="" dxfId="4">
      <formula>"Red"</formula>
    </cfRule>
  </conditionalFormatting>
  <dataValidations count="4">
    <dataValidation allowBlank="true" error="Pick a value from the list." errorStyle="stop" errorTitle="Choose from the list" operator="between" showDropDown="false" showErrorMessage="false" showInputMessage="false" sqref="B6:B26" type="list">
      <formula1>"BUILD,GROW,LAUNCH"</formula1>
      <formula2>0</formula2>
    </dataValidation>
    <dataValidation allowBlank="true" error="Pick a value from the list." errorStyle="stop" errorTitle="Choose from the list" operator="between" showDropDown="false" showErrorMessage="false" showInputMessage="false" sqref="C6:C26" type="list">
      <formula1>"English,Maths,Science,PSHE / RSE,RE,Humanities,Arts (Arts Award),PE,Careers / Vocational (ASDAN),Computing / Digital,Personal Development / PfA"</formula1>
      <formula2>0</formula2>
    </dataValidation>
    <dataValidation allowBlank="true" error="Pick a value from the list." errorStyle="stop" errorTitle="Choose from the list" operator="between" showDropDown="false" showErrorMessage="false" showInputMessage="false" sqref="F6:F26" type="list">
      <formula1>"Green,Amber,Red"</formula1>
      <formula2>0</formula2>
    </dataValidation>
    <dataValidation allowBlank="true" error="Pick a value from the list." errorStyle="stop" errorTitle="Choose from the list" operator="between" showDropDown="false" showErrorMessage="false" showInputMessage="false" sqref="H6:H26" type="list">
      <formula1>"Achieved (move on),Revisit in class,Intervention"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2026-06-22T07:46:21Z</dcterms:created>
  <dc:creator>openpyxl</dc:creator>
  <dc:description/>
  <dc:language>en-US</dc:language>
  <cp:lastModifiedBy>Helen Stewart</cp:lastModifiedBy>
  <dcterms:modified xsi:type="dcterms:W3CDTF">2026-07-15T11:04:51Z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0x0101002C6E38C4B2056147BFEE88C7F682B392</vt:lpwstr>
  </property>
  <property fmtid="{D5CDD505-2E9C-101B-9397-08002B2CF9AE}" pid="3" name="MediaServiceImageTags">
    <vt:lpwstr/>
  </property>
</Properties>
</file>