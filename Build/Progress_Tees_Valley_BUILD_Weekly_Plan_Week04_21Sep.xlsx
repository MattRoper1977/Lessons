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Weekly Plan" sheetId="1" state="visible" r:id="rId3"/>
    <sheet name="Students" sheetId="2" state="visible" r:id="rId4"/>
    <sheet name="Outcomes RA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<sst xmlns="http://schemas.openxmlformats.org/spreadsheetml/2006/main" count="238" uniqueCount="184">
  <si>
    <t xml:space="preserve">Weekly Planner - To be submitted to Head of School prior to the start of each Half-Term</t>
  </si>
  <si>
    <t xml:space="preserve">Progress Schools  ·  linked to the 2026/27 Schemes of Work</t>
  </si>
  <si>
    <t xml:space="preserve">Pathway</t>
  </si>
  <si>
    <t xml:space="preserve">BUILD</t>
  </si>
  <si>
    <t xml:space="preserve">Week no.</t>
  </si>
  <si>
    <t xml:space="preserve">Term</t>
  </si>
  <si>
    <t xml:space="preserve">Autumn</t>
  </si>
  <si>
    <t xml:space="preserve">Group / class</t>
  </si>
  <si>
    <t xml:space="preserve">Theme</t>
  </si>
  <si>
    <t xml:space="preserve">Teacher</t>
  </si>
  <si>
    <t xml:space="preserve">Week commencing</t>
  </si>
  <si>
    <t xml:space="preserve">Reviewed by</t>
  </si>
  <si>
    <t xml:space="preserve">SMSC/BV this week: International Day of Peace (Mon 21 Sep) — whole-school reflection + calm tutor-time minute.  European Day of Languages Sat 26 Sep — 'hello' language-taster starter Fri.  PSHE rule-of-law panel links the BV assembly.  EVIDENCE: assembly print + EFL: community → SMSC Evidence Tracker.</t>
  </si>
  <si>
    <t xml:space="preserve">Subject</t>
  </si>
  <si>
    <t xml:space="preserve">SoW unit (this term)</t>
  </si>
  <si>
    <t xml:space="preserve">This week's outcome</t>
  </si>
  <si>
    <t xml:space="preserve">Activities</t>
  </si>
  <si>
    <t xml:space="preserve">Key vocabulary</t>
  </si>
  <si>
    <t xml:space="preserve">Resources required</t>
  </si>
  <si>
    <t xml:space="preserve">Assess. (F/S)</t>
  </si>
  <si>
    <t xml:space="preserve">Student adaptations</t>
  </si>
  <si>
    <t xml:space="preserve">Classroom support</t>
  </si>
  <si>
    <t xml:space="preserve">Evaluation (after teaching)</t>
  </si>
  <si>
    <t xml:space="preserve">English</t>
  </si>
  <si>
    <t xml:space="preserve">Identity &amp; Belonging: speaking clearly about myself</t>
  </si>
  <si>
    <t xml:space="preserve">I can give a short spoken introduction using Standard English where appropriate.</t>
  </si>
  <si>
    <t xml:space="preserve">Arrival: identify strong/weak introductions → plan 4 sentences: name, strength, interest, goal → rehearse with adult/peer → deliver, audio-record or read aloud to staff → feedback on clarity.</t>
  </si>
  <si>
    <t xml:space="preserve">introduction, voice, clarity, audience, Standard English, confidence</t>
  </si>
  <si>
    <t xml:space="preserve">Speaking frame; example introductions; recording option; feedback checklist.</t>
  </si>
  <si>
    <t xml:space="preserve">F</t>
  </si>
  <si>
    <t xml:space="preserve">Option to record privately; sentence frame; visual prompts; no whole-class performance unless agreed.</t>
  </si>
  <si>
    <t xml:space="preserve">TA rehearses with anxious students. Teacher gathers SLC evidence and gives one improvement point.</t>
  </si>
  <si>
    <t xml:space="preserve">Record SLC evidence and confidence level.</t>
  </si>
  <si>
    <t xml:space="preserve">Maths</t>
  </si>
  <si>
    <t xml:space="preserve">Number, calculation &amp; fractions (Y5/6)</t>
  </si>
  <si>
    <t xml:space="preserve">I can add and subtract large numbers and decimals accurately using efficient written and mental methods.</t>
  </si>
  <si>
    <t xml:space="preserve">Mental arithmetic starter.
Formal column methods.
Decimal calculations.
Error spotting activities.
Real-life budgeting and shopping tasks.</t>
  </si>
  <si>
    <t xml:space="preserve">Addition
Subtraction
Decimal
Calculate
Estimate
Exchange
Difference
Method</t>
  </si>
  <si>
    <t xml:space="preserve">Whiteboards
Worksheets
Place value charts
Calculators for checking
Interactive presentation</t>
  </si>
  <si>
    <t xml:space="preserve">Use smaller numbers first.
Place value grids.
Worked examples.
Challenge through multi-step problems. Pupil A: choice of task &amp; seat, own table, quiet-space option, short 10–20-min goals, opt-out of group sharing. Pupil B: colourblind-safe — labels/patterns/position, never colour alone; movement; offer choice with a reason, not commands. Pupil C: fatigue-aware — soft re-entry after rest, TA checks understanding (he may tick at random), scribe/photo instead of writing. Pupil D: middle seat, fidget/scribble pad, short 10-min bursts, answer or visibly 'park' his questions.</t>
  </si>
  <si>
    <t xml:space="preserve">Explicit modelling.
Guided practice groups.
TA support with alignment of digits.</t>
  </si>
  <si>
    <t xml:space="preserve">Calculation task.
Marked independent work.
Peer assessment.
Arithmetic quiz.</t>
  </si>
  <si>
    <t xml:space="preserve">Science</t>
  </si>
  <si>
    <t xml:space="preserve">Animals including humans: skeletons, movement &amp; nutrition (White Rose Science Y3) · Pearson Entry Level Science 8939 intro (supported entry) · ladders toward Grow ELC → GCSE Biology 1BI0 (Launch) · SoW Aut1·W4  [REALIGNED to SoW]</t>
  </si>
  <si>
    <t xml:space="preserve">I can sort animals into those with skeletons inside, outside, or none.</t>
  </si>
  <si>
    <t xml:space="preserve">Hands-on &amp; catch-up-proof: 'point to the bone' recap opens.  Arrival: squeeze a toy dog (bones inside) and a toy beetle (hard outside) — what's different? I DO: model three groups — skeleton INSIDE (dog, fish, us) · skeleton OUTSIDE (beetle, crab) · NO skeleton (worm, jellyfish). WE DO: sort 6 animal cards into hoops together. YOU DO: sort the rest; take a photo of your hoops. EXIT: point to the animal with its skeleton on the OUTSIDE.  MISCONCEPTION (strike through): a worm is NOT 'floppy because it is dead' — it never had bones.</t>
  </si>
  <si>
    <t xml:space="preserve">skeleton, inside, outside, none, vertebrate, invertebrate, bone, hard, soft, group</t>
  </si>
  <si>
    <t xml:space="preserve">Toy/model animals (dog, fish, beetle, crab, worm, jellyfish); 3 sorting hoops + symbol headers; animal picture cards; camera; word mat.</t>
  </si>
  <si>
    <t xml:space="preserve">Tiered 3 ways at every step — scaffold, task version and evidence prompt (symbol-supported → sentence-stem → independent): same outcome, different rung. Hands-on route first; easy-read/symbol resources; chunked steps with modelling; movement built into every session.  Handling the models before sorting is essential — the tactile difference IS the classification. Hoops mean the answer is physical, not written.</t>
  </si>
  <si>
    <t xml:space="preserve">TA holds the hoops and prompts 'hard bit — inside or outside?'. Teacher lets every pupil handle every model. LOOP [Feedback Policy]: Voice = sort/handle/say the group [VF, ?] → Audience: name which hoop and why; [R] once received → EVIDENCE: hoop-sort photo, upload same day [E: science — daily EFL; banks ELC 8939].</t>
  </si>
  <si>
    <t xml:space="preserve">Note who uses 'inside/outside' language unprompted.  → Influence: builds the grouping skill needed for W7's food groups — same hoops, same rule [NS].</t>
  </si>
  <si>
    <t xml:space="preserve">PSHE / RSE</t>
  </si>
  <si>
    <t xml:space="preserve">Identity, rights &amp; British values (PSHE Association KS3, adapted) · AQA UAS 'Rights &amp; responsibilities' · ladders toward Grow PSHE · SoW Aut1·W4</t>
  </si>
  <si>
    <t xml:space="preserve">I can say why we have rules and laws and what happens when one is broken.</t>
  </si>
  <si>
    <t xml:space="preserve">Zones check-in settles the session.  'You be the judge' — anonymised scenario picture cards: the panel agrees a fair consequence, then the reveal card shows what the law actually says → floor-line sort: walk each card to rule / law / personal choice → mini ages quiz with show-me cards (what age can you…?) → exit: one rule that keeps us safe, and why.  EVIDENCE: photographed panel verdicts + quiz round (banks AQA UAS).  GROW STRETCH: 'Going for Grow' card — why do consequences need to be fair, not just tough?</t>
  </si>
  <si>
    <t xml:space="preserve">rule, law, consequence, fair, safe, age, legal, choice</t>
  </si>
  <si>
    <t xml:space="preserve">Scenario picture cards + reveal cards; rule/law/choice floor line; ages show-me cards; camera.</t>
  </si>
  <si>
    <t xml:space="preserve">Tiered 3 ways at every step — scaffold, task version and evidence prompt (symbol-supported → sentence-stem → independent): same outcome, different rung. Hands-on route first; easy-read/symbol resources; chunked steps with modelling; movement built into every session.  Scenarios anonymised and pre-screened; verdicts agreed as a panel so no pupil answers alone; walking IS the sort.  Pupil A: choice of task &amp; seat, own table, quiet-space option, short 10–20-min goals, opt-out of group sharing. Pupil B: colourblind-safe — labels/patterns/position, never colour alone; movement; offer choice with a reason, not commands. Pupil C: fatigue-aware — soft re-entry after rest, TA checks understanding (he may tick at random), scribe/photo instead of writing. Pupil D: middle seat, fidget/scribble pad, short 10-min bursts, answer or visibly 'park' his questions.</t>
  </si>
  <si>
    <t xml:space="preserve">TA sits on the panel and keeps deliberation concrete.  LOOP [Feedback Policy]: Voice = verdict/walk/show-me [VF] → Audience: name the rule-vs-law call back; [R] once used for real → EVIDENCE: verdict photos, same day [E: BV rule of law — daily EFL; banks AQA UAS].</t>
  </si>
  <si>
    <t xml:space="preserve">Influence: links to the live class charter — note who connects consequence to fairness for W5's choices work [NS].</t>
  </si>
  <si>
    <t xml:space="preserve">RE</t>
  </si>
  <si>
    <t xml:space="preserve">Belief, festivals &amp; belonging (Kapow + RE, adapted) · ladders toward Grow RE · SoW Aut1·W4</t>
  </si>
  <si>
    <t xml:space="preserve">I can retell part of the Hanukkah story and say why light matters in it.</t>
  </si>
  <si>
    <t xml:space="preserve">Arrival: the hanukkiah — why 8 branches? take guesses → the story of the oil that lasted eight days told with the model hanukkiah: a pupil adds a candle at each story beat → hands-on rotation: dreidel for chocolate coins (the letters teach the story — CHECK ALLERGIES), paper hanukkiah build, latke taste if possible → each pupil voice-notes 'light matters in Hanukkah because…' over a photo of their make.  EVIDENCE: makes + voice-notes to the Festivals display.  GROW STRETCH: 'Going for Grow' card — retell the whole story in four picture beats.</t>
  </si>
  <si>
    <t xml:space="preserve">Hanukkah, Jewish, hanukkiah, oil, miracle, dreidel, light, eight</t>
  </si>
  <si>
    <t xml:space="preserve">Model hanukkiah + candles; dreidels + chocolate coins (CHECK ALLERGIES); paper-build kits; latke tasting (food hygiene); camera.</t>
  </si>
  <si>
    <t xml:space="preserve">Tiered 3 ways at every step — scaffold, task version and evidence prompt (symbol-supported → sentence-stem → independent): same outcome, different rung. Hands-on route first; easy-read/symbol resources; chunked steps with modelling; movement built into every session.  Story beats are physical (adding candles); the voice-note can be one word; tasting always opt-in.  Pupil A: choice of task &amp; seat, own table, quiet-space option, short 10–20-min goals, opt-out of group sharing. Pupil B: colourblind-safe — labels/patterns/position, never colour alone; movement; offer choice with a reason, not commands. Pupil C: fatigue-aware — soft re-entry after rest, TA checks understanding (he may tick at random), scribe/photo instead of writing. Pupil D: middle seat, fidget/scribble pad, short 10-min bursts, answer or visibly 'park' his questions.</t>
  </si>
  <si>
    <t xml:space="preserve">TA runs the dreidel table and records voice-notes.  LOOP [Feedback Policy]: Voice = add-a-candle/play/voice-note [VF] → Audience: listen fully before tagging, then [R] → EVIDENCE: make photo + voice-note, same day [E: cultural — daily EFL].</t>
  </si>
  <si>
    <t xml:space="preserve">Influence: second column of the W6 comparison grid banked — note who transfers 'light' from Diwali unprompted [NS].</t>
  </si>
  <si>
    <t xml:space="preserve">Humanities</t>
  </si>
  <si>
    <t xml:space="preserve">Migration &amp; identity in Britain (Kapow History, adapted) · NC KS2, supported · AQA UAS 'History around us' · ladders toward Grow Humanities · SoW Aut1·W4</t>
  </si>
  <si>
    <t xml:space="preserve">I can name one person from Black British history and say what they did.</t>
  </si>
  <si>
    <t xml:space="preserve">Arrival: 'who could this be?' — one picture-clue reveal at a time → model a mini-profile (who / what they did / why it matters) built from pictures → we do: build one profile together → you do: choose a person from a picture-supported BHM menu (include sport, food and local figures — Pupil D's hooks) and complete a profile card by sticking, drawing or scribing → add your card to the class 'People Who Shaped Britain' wall → exit: '…is important because…'.  EVIDENCE: profile cards + wall photo (banks AQA UAS).  GROW STRETCH: 'Going for Grow' card — add a date or place to your profile.</t>
  </si>
  <si>
    <t xml:space="preserve">Black History Month, profile, achievement, important, shaped, Britain</t>
  </si>
  <si>
    <t xml:space="preserve">Picture-clue reveal set; BHM picture menu (sport/food/local options); profile cards; wall display space; camera.</t>
  </si>
  <si>
    <t xml:space="preserve">Tiered 3 ways at every step — scaffold, task version and evidence prompt (symbol-supported → sentence-stem → independent): same outcome, different rung. Hands-on route first; easy-read/symbol resources; chunked steps with modelling; movement built into every session.  Profiles are stuck and scribed, not written; the menu guarantees a hook per pupil; one fact is the first rung.  Pupil A: choice of task &amp; seat, own table, quiet-space option, short 10–20-min goals, opt-out of group sharing. Pupil B: colourblind-safe — labels/patterns/position, never colour alone; movement; offer choice with a reason, not commands. Pupil C: fatigue-aware — soft re-entry after rest, TA checks understanding (he may tick at random), scribe/photo instead of writing. Pupil D: middle seat, fidget/scribble pad, short 10-min bursts, answer or visibly 'park' his questions.</t>
  </si>
  <si>
    <t xml:space="preserve">TA builds alongside and scribes the 'important because' line.  LOOP [Feedback Policy]: Voice = choose/stick/say [VF, ?] → Audience: name the achievement back; [R] once received → EVIDENCE: card + wall photo, same day [E: humanities/BHM — daily EFL; banks AQA UAS].</t>
  </si>
  <si>
    <t xml:space="preserve">Influence: each pupil's figure rides into W5's importance line — keep cards accessible — record the change made [NS].</t>
  </si>
  <si>
    <t xml:space="preserve">Arts (Arts Award)</t>
  </si>
  <si>
    <t xml:space="preserve">Identity in art &amp; developing skills (Trinity Arts Award Explore, supported) · AQA UAS 'Creating artwork' · toward Explore completion → Bronze (Launch) · SoW Creative Arts</t>
  </si>
  <si>
    <t xml:space="preserve">I can make my identity artwork using one idea borrowed from an artist.</t>
  </si>
  <si>
    <t xml:space="preserve">Arrival: one BHM artist's work on the big screen — say or point at what stands out → model borrowing ONE idea (a shape, a technique, a texture — not a copy) → we do: try the borrowed idea together on scrap → you do: create your identity piece from your Week 3 plan plus your one borrowed idea → exit: point to the part you're most proud of.  EVIDENCE: staged photos + log comment (Explore Part A/C link).  GROW STRETCH: 'Going for Grow' card — name the artist AND the borrowed idea in your log.</t>
  </si>
  <si>
    <t xml:space="preserve">inspire, borrow, idea, create, artist, technique, proud</t>
  </si>
  <si>
    <t xml:space="preserve">BHM artist images; scrap trial paper; each pupil's plan + materials (pre-ordered from W3); Explore log; camera.</t>
  </si>
  <si>
    <t xml:space="preserve">Tiered 3 ways at every step — scaffold, task version and evidence prompt (symbol-supported → sentence-stem → independent): same outcome, different rung. Hands-on route first; easy-read/symbol resources; chunked steps with modelling; movement built into every session.  The borrowed idea can be gestural ('big shapes like his'); making time protected — minimal talk demands mid-make.  Pupil B: texture/pattern borrowings offered first.  Pupil A: choice of task &amp; seat, own table, quiet-space option, short 10–20-min goals, opt-out of group sharing. Pupil B: colourblind-safe — labels/patterns/position, never colour alone; movement; offer choice with a reason, not commands. Pupil C: fatigue-aware — soft re-entry after rest, TA checks understanding (he may tick at random), scribe/photo instead of writing. Pupil D: middle seat, fidget/scribble pad, short 10-min bursts, answer or visibly 'park' his questions.</t>
  </si>
  <si>
    <t xml:space="preserve">TA shoots stage photos and scribes the proud-of line.  LOOP [Feedback Policy]: Voice = make + point + comment [VF] → Audience: name the borrowed idea back; [R] then one next step [NS] → EVIDENCE: staged photos to the Explore log, same day [E: Arts Award].</t>
  </si>
  <si>
    <t xml:space="preserve">Influence: pieces must survive to W5 intact — store safely; flag who can articulate the borrowing for moderation [NS].</t>
  </si>
  <si>
    <t xml:space="preserve">PE</t>
  </si>
  <si>
    <t xml:space="preserve">ASDAN PEQ (WellbLeE3)</t>
  </si>
  <si>
    <t xml:space="preserve">ASDAN PEQ · WellbLeE3 · Aut·W4 — E3.2 what helps / what gets in the way</t>
  </si>
  <si>
    <t xml:space="preserve">I can name things that help and things that get in the way of my learning.</t>
  </si>
  <si>
    <t xml:space="preserve">Arrival: traffic-light sort — helps / gets in the way. I DO: model with a real example (noise, hunger, a break). WE DO: sort together. YOU DO: your own helps/barriers board; adult scribes; photo. E3.2 evidenced. Cross-timetable: every adult contributes one observation slip this week — evidence is gathered across the day, not in this slot alone.</t>
  </si>
  <si>
    <t xml:space="preserve">helps, barrier, gets in the way, noise, break, hunger, focus, notice</t>
  </si>
  <si>
    <t xml:space="preserve">Traffic-light sort cards; helps/barriers board; observation slips for all adults; Evidence Binder; camera.</t>
  </si>
  <si>
    <t xml:space="preserve">Traffic-light cards are point-to, not write — every colour paired with a word/symbol (Pupil B); barriers discussed as 'things' not 'feelings'; any disclosure follows safeguarding process</t>
  </si>
  <si>
    <t xml:space="preserve">TA runs the traffic-light sort; teacher captures barrier language verbatim per pupil (min 2 factors each — E3.2.1); observation slips gathered from other lessons this week</t>
  </si>
  <si>
    <t xml:space="preserve">Slot 1 · Careers (ASDAN)</t>
  </si>
  <si>
    <t xml:space="preserve">Careers &amp; world of work — strengths to jobs (evidences ASDAN Living Independently M8; AQA UAS)</t>
  </si>
  <si>
    <t xml:space="preserve">I can describe a working day, including routines and timekeeping.</t>
  </si>
  <si>
    <t xml:space="preserve">Order a working-day timeline → clock-in role play → plan my own get-ready-for-work morning.</t>
  </si>
  <si>
    <t xml:space="preserve">strength, skill, job, worker, employer, routine, profile, evidence</t>
  </si>
  <si>
    <t xml:space="preserve">Strength cards; local jobs photo bank; profile posters; visitor link. W1 lesson: BUILD_L1_Careers_Strengths.html (evidence print incl. Yellow Box/WWW-EBI footer).</t>
  </si>
  <si>
    <t xml:space="preserve">Tiered 3 ways at every step; NEVER colour-only coding (Pupil B — pair every colour with a word/symbol); movement jobs &amp; pacing breaks built in (Pupil D); low-demand entry + fatigue watch, key tasks early in session (Pupil C); confidence-first low-stakes start, praise attempts before accuracy (Pupil A); photo/oral/scribed evidence accepted throughout.</t>
  </si>
  <si>
    <t xml:space="preserve">TA runs paired talk with stems; scribes for reluctant writers (note “TA scribed”); champions Pupil A early and often.</t>
  </si>
  <si>
    <t xml:space="preserve">Slot 2 · Vocational / D&amp;T (ASDAN)</t>
  </si>
  <si>
    <t xml:space="preserve">D&amp;T via ASDAN tasters: kitchen skills → Textiles design-make-evaluate (Aut1); Construction from Aut2</t>
  </si>
  <si>
    <t xml:space="preserve">I can design a simple textile item and choose my materials.</t>
  </si>
  <si>
    <t xml:space="preserve">Design frame (what is it / who is it for) → choose fabric and fastening → design signed off before making.</t>
  </si>
  <si>
    <t xml:space="preserve">tool, safety, hygiene, recipe, fabric, join, design, evaluate</t>
  </si>
  <si>
    <t xml:space="preserve">Kitchen + tools, PPE, recipe cards; fabrics &amp; fastenings. W1 lesson: BUILD_L1_Vocational_Kitchen_Induction.html.</t>
  </si>
  <si>
    <t xml:space="preserve">TA runs safe-carry / wash-up stations; signs skill cards only when genuinely met; models every technique first.</t>
  </si>
  <si>
    <t xml:space="preserve">Slot 3 · PfA — ASDAN Living Independently</t>
  </si>
  <si>
    <t xml:space="preserve">ASDAN LI — M1 Earning &amp; Spending Money (Aut1) → M2 Keeping Track of Your Money (Aut2); Section A: 4 challenges over ~10 hrs = 1 credit per module</t>
  </si>
  <si>
    <t xml:space="preserve">Payslips and first jobs: I can say what a simple wage slip shows (links Careers slot).</t>
  </si>
  <si>
    <t xml:space="preserve">Sample payslip walk-through → find the wage/deductions → link to Careers working-day week.</t>
  </si>
  <si>
    <t xml:space="preserve">income, spending, wages, benefits, payslip, price, budget, bank</t>
  </si>
  <si>
    <t xml:space="preserve">Practice money + tins, payslip, price tags, money-map paper, spending diary; LI student book / e-portfolio. W1 lesson: BUILD_L1_LI_Where_Money_Comes_From.html.</t>
  </si>
  <si>
    <t xml:space="preserve">TA runs wage-packet counting 1:1; money talk stays judgement-free; NO personal family finances recorded.</t>
  </si>
  <si>
    <t xml:space="preserve">Slot 4 · PfA — ASDAN FoodWise</t>
  </si>
  <si>
    <t xml:space="preserve">ASDAN FoodWise — M1 Healthy Eating (Aut1) → M2 Basic Food Safety (Aut2); Section A: 4 challenges over ~10 hrs = 1 credit per module</t>
  </si>
  <si>
    <t xml:space="preserve">Healthy swaps: I can redesign a snack to make it healthier and justify my choices.</t>
  </si>
  <si>
    <t xml:space="preserve">Snack redesign frame → swap cards → justify one swap aloud (scribed).</t>
  </si>
  <si>
    <t xml:space="preserve">food group, carbohydrate, protein, dairy, balance, label, hygiene, safety</t>
  </si>
  <si>
    <t xml:space="preserve">Eatwell mat + real foods, packaging for traffic-light labels, kitchen, display kit; FoodWise student book. SMSC anchor: World Food Day 16 Oct. W1 lesson: FW_L1_Food_Groups.html.</t>
  </si>
  <si>
    <t xml:space="preserve">TA runs food-handling hygiene checks; allergy list confirmed with the office before EVERY food session; photo evidence per pupil per practical.</t>
  </si>
  <si>
    <t xml:space="preserve">Slot 5 · Community A — Community Project &amp; Vocational</t>
  </si>
  <si>
    <t xml:space="preserve">Community Project &amp; Vocational — sustained local contribution; ASDAN/UAS community evidence. Trips/Visits policy applies to ALL off-site work (approval 4 weeks ahead, min. two staff).</t>
  </si>
  <si>
    <t xml:space="preserve">I can plan the steps and resources we need.</t>
  </si>
  <si>
    <t xml:space="preserve">Big planning board: steps sequenced → resources listed → who-does-what confirmed.</t>
  </si>
  <si>
    <t xml:space="preserve">community, project, partner, role, responsibility, contribute, evidence</t>
  </si>
  <si>
    <t xml:space="preserve">Local partner venue; PPE as required; project log; camera. ICT embedded: digital project log.</t>
  </si>
  <si>
    <t xml:space="preserve">TA supports allocated roles and captures the weekly log; off-site checklist confirmed before leaving site every time.</t>
  </si>
  <si>
    <t xml:space="preserve">Slot 6 · Community B — Junior/Young Duke + Social Enterprise</t>
  </si>
  <si>
    <t xml:space="preserve">Junior/Young Duke (Capable Kids) challenge levels + community &amp; social enterprise action · AQA UAS “Personal challenge”.</t>
  </si>
  <si>
    <t xml:space="preserve">I can take on a personal-responsibility challenge.</t>
  </si>
  <si>
    <t xml:space="preserve">Choose a responsibility (plant, job, kit) → agree the success check → start the week's log.</t>
  </si>
  <si>
    <t xml:space="preserve">challenge, pledge, evidence, resilience, kindness, independence</t>
  </si>
  <si>
    <t xml:space="preserve">Junior/Young Duke booklets (first aid, cookery, eco, independence challenges); challenge log; camera/tablet. SMSC anchors: Anti-Bullying Week 16–20 Nov, World Kindness Day 13 Nov.</t>
  </si>
  <si>
    <t xml:space="preserve">TA witnesses and photographs each challenge attempt; tutor signs off only genuinely met challenges; pledge wall kept current.</t>
  </si>
  <si>
    <t xml:space="preserve">Enrichment &amp; wider opportunities this week   (trips, visitors, themed days, SMSC calendar link, PfA / community)</t>
  </si>
  <si>
    <t xml:space="preserve">Mon 21 Sep: International Day of Peace — calm / belonging circle.  Fri 25 Sep: 'hello' in different languages taster (European Day of Languages Sat 26).  Whole-school theme assembly: Identity &amp; Belonging.  PfA / community: local walk.</t>
  </si>
  <si>
    <t xml:space="preserve">Resources &amp; support to prepare before the week   (printing, kit, bookings, briefing the team)</t>
  </si>
  <si>
    <t xml:space="preserve">Print/prepare: word wall + stem strips, egg boxes/crates + counters, choice cards + stopwatches, judge scenario + reveal cards + ages quiz, Hanukkah kit (model hanukkiah, dreidels + chocolate coins — CHECK ALLERGIES, latke tasting — food hygiene), BHM picture menu + profile cards, BHM artist images + each pupil's plan materials (pre-order from W3 plans).  Confirm tasting consents.</t>
  </si>
  <si>
    <t xml:space="preserve">F = formative  ·  S = summative  ·  PfA = Preparing for Adulthood  </t>
  </si>
  <si>
    <t xml:space="preserve">Student Adaptations</t>
  </si>
  <si>
    <t xml:space="preserve">Name</t>
  </si>
  <si>
    <t xml:space="preserve">Year / KS</t>
  </si>
  <si>
    <t xml:space="preserve">Reading age band</t>
  </si>
  <si>
    <t xml:space="preserve">Communication / sensory needs</t>
  </si>
  <si>
    <t xml:space="preserve">Key scaffolds &amp; adaptations</t>
  </si>
  <si>
    <t xml:space="preserve">EHCP primary outcomes</t>
  </si>
  <si>
    <t xml:space="preserve">PfA focus</t>
  </si>
  <si>
    <t xml:space="preserve">Notes</t>
  </si>
  <si>
    <t xml:space="preserve">Pupil A</t>
  </si>
  <si>
    <t xml:space="preserve">KS4</t>
  </si>
  <si>
    <t xml:space="preserve">Pupil B</t>
  </si>
  <si>
    <t xml:space="preserve">Pupil C</t>
  </si>
  <si>
    <t xml:space="preserve">Pupil D</t>
  </si>
  <si>
    <t xml:space="preserve">Outcome Tracker </t>
  </si>
  <si>
    <t xml:space="preserve">Did everyone make progress and meet the outcome? </t>
  </si>
  <si>
    <t xml:space="preserve">GREEN</t>
  </si>
  <si>
    <t xml:space="preserve">All demonstrated progress &amp; achieved the outcome</t>
  </si>
  <si>
    <t xml:space="preserve">AMBER</t>
  </si>
  <si>
    <t xml:space="preserve">Partly met, revisit in class</t>
  </si>
  <si>
    <t xml:space="preserve">RED</t>
  </si>
  <si>
    <t xml:space="preserve">Not met, pick up through intervention</t>
  </si>
  <si>
    <t xml:space="preserve">Week (w/c)</t>
  </si>
  <si>
    <t xml:space="preserve">Outcome reviewed</t>
  </si>
  <si>
    <t xml:space="preserve">Marking / evidence</t>
  </si>
  <si>
    <t xml:space="preserve">RAG</t>
  </si>
  <si>
    <t xml:space="preserve">Students not yet secure</t>
  </si>
  <si>
    <t xml:space="preserve">Picked up via</t>
  </si>
  <si>
    <t xml:space="preserve">Action &amp; timescale</t>
  </si>
  <si>
    <t xml:space="preserve">Students prepared and delivered or recorded a short spoken introduction.</t>
  </si>
  <si>
    <t xml:space="preserve">I can name two things that keep my body healthy and say why.</t>
  </si>
  <si>
    <t xml:space="preserve">PEQ portfolio: photos + scribed voice + witness statements</t>
  </si>
  <si>
    <t xml:space="preserve">PfA — ASDAN LI</t>
  </si>
  <si>
    <t xml:space="preserve">LI portfolio: challenge evidence + skills grid</t>
  </si>
  <si>
    <t xml:space="preserve">PfA — ASDAN FoodWise</t>
  </si>
  <si>
    <t xml:space="preserve">FoodWise portfolio: challenge evidence + photos</t>
  </si>
  <si>
    <t xml:space="preserve">This sheet:</t>
  </si>
  <si>
    <t xml:space="preserve">Green</t>
  </si>
  <si>
    <t xml:space="preserve">Amber</t>
  </si>
  <si>
    <t xml:space="preserve">Red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</si>
</sst>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\-mmm\-yy"/>
    <numFmt numFmtId="166" formatCode="yyyy\-mm\-dd\ h:mm:ss"/>
    <numFmt numFmtId="167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566159"/>
      <name val="Arial"/>
      <family val="0"/>
      <charset val="1"/>
    </font>
    <font>
      <b val="true"/>
      <sz val="9"/>
      <color rgb="FF566159"/>
      <name val="Arial"/>
      <family val="0"/>
      <charset val="1"/>
    </font>
    <font>
      <b val="true"/>
      <sz val="10"/>
      <color rgb="FF1B2420"/>
      <name val="Arial"/>
      <family val="0"/>
      <charset val="1"/>
    </font>
    <font>
      <b val="true"/>
      <sz val="10"/>
      <color rgb="FF2E7D4F"/>
      <name val="Arial"/>
      <family val="0"/>
      <charset val="1"/>
    </font>
    <font>
      <sz val="9"/>
      <color rgb="FF2E2A5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B2420"/>
      <name val="Arial"/>
      <family val="0"/>
      <charset val="1"/>
    </font>
    <font>
      <sz val="9"/>
      <color rgb="FF000000"/>
      <name val="Arial"/>
      <family val="2"/>
      <charset val="1"/>
    </font>
    <font>
      <sz val="9"/>
      <color rgb="FF1B2420"/>
      <name val="Arial"/>
      <family val="0"/>
      <charset val="1"/>
    </font>
    <font>
      <sz val="9"/>
      <color rgb="FF1B2420"/>
      <name val="Arial"/>
      <family val="2"/>
      <charset val="1"/>
    </font>
    <font>
      <sz val="9"/>
      <color rgb="FF222222"/>
      <name val="Aptos"/>
      <family val="2"/>
      <charset val="1"/>
    </font>
    <font>
      <i val="true"/>
      <sz val="8"/>
      <color rgb="FF566159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6"/>
      <color rgb="FFFFFFFF"/>
      <name val="Arial"/>
      <family val="2"/>
      <charset val="1"/>
    </font>
    <font>
      <sz val="10"/>
      <name val="Arial"/>
      <family val="2"/>
      <charset val="1"/>
    </font>
    <font>
      <sz val="9"/>
      <name val="Arial"/>
      <family val="2"/>
      <charset val="1"/>
    </font>
    <font>
      <b val="true"/>
      <sz val="10"/>
      <color rgb="FFFFFFFF"/>
      <name val="Arial"/>
      <family val="0"/>
      <charset val="1"/>
    </font>
    <font>
      <sz val="8"/>
      <color rgb="FF56615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D6006E"/>
        <bgColor rgb="FF800080"/>
      </patternFill>
    </fill>
    <fill>
      <patternFill patternType="solid">
        <fgColor rgb="FFFBE3F0"/>
        <bgColor rgb="FFEFE9F2"/>
      </patternFill>
    </fill>
    <fill>
      <patternFill patternType="solid">
        <fgColor rgb="FFEFE9F2"/>
        <bgColor rgb="FFFBE3F0"/>
      </patternFill>
    </fill>
    <fill>
      <patternFill patternType="solid">
        <fgColor rgb="FFFFFFFF"/>
        <bgColor rgb="FFF4F7F3"/>
      </patternFill>
    </fill>
    <fill>
      <patternFill patternType="solid">
        <fgColor rgb="FFF4F7F3"/>
        <bgColor rgb="FFFFFFFF"/>
      </patternFill>
    </fill>
    <fill>
      <patternFill patternType="solid">
        <fgColor rgb="FF2E7D4F"/>
        <bgColor rgb="FF1F6F7A"/>
      </patternFill>
    </fill>
    <fill>
      <patternFill patternType="solid">
        <fgColor rgb="FFD9A227"/>
        <bgColor rgb="FFB8742A"/>
      </patternFill>
    </fill>
    <fill>
      <patternFill patternType="solid">
        <fgColor rgb="FFC0392B"/>
        <bgColor rgb="FF993366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3CDC1"/>
      </bottom>
      <diagonal/>
    </border>
    <border diagonalUp="false" diagonalDown="false">
      <left style="thin">
        <color rgb="FFC9C9D6"/>
      </left>
      <right style="thin">
        <color rgb="FFC9C9D6"/>
      </right>
      <top style="thin">
        <color rgb="FFC9C9D6"/>
      </top>
      <bottom style="thin">
        <color rgb="FFC9C9D6"/>
      </bottom>
      <diagonal/>
    </border>
    <border diagonalUp="false" diagonalDown="false">
      <left style="thin">
        <color rgb="FFC3CDC1"/>
      </left>
      <right style="thin">
        <color rgb="FFC3CDC1"/>
      </right>
      <top style="thin">
        <color rgb="FFC3CDC1"/>
      </top>
      <bottom style="thin">
        <color rgb="FFC3CDC1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6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3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3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5" borderId="3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6" borderId="3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1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FFFFFF"/>
      </font>
      <fill>
        <patternFill>
          <bgColor rgb="FF2E7D4F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B8742A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1F6F7A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D9A227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C0392B"/>
        </patternFill>
      </fill>
    </dxf>
  </dxfs>
  <colors>
    <indexedColors>
      <rgbColor rgb="FF000000"/>
      <rgbColor rgb="FFFFFFFF"/>
      <rgbColor rgb="FFD6006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742A"/>
      <rgbColor rgb="FF800080"/>
      <rgbColor rgb="FF1F6F7A"/>
      <rgbColor rgb="FFC3CDC1"/>
      <rgbColor rgb="FF808080"/>
      <rgbColor rgb="FF9999FF"/>
      <rgbColor rgb="FF993366"/>
      <rgbColor rgb="FFF4F7F3"/>
      <rgbColor rgb="FFEFE9F2"/>
      <rgbColor rgb="FF660066"/>
      <rgbColor rgb="FFFF8080"/>
      <rgbColor rgb="FF0066CC"/>
      <rgbColor rgb="FFC9C9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3F0"/>
      <rgbColor rgb="FF3366FF"/>
      <rgbColor rgb="FF33CCCC"/>
      <rgbColor rgb="FF99CC00"/>
      <rgbColor rgb="FFFFCC00"/>
      <rgbColor rgb="FFD9A227"/>
      <rgbColor rgb="FFFF6600"/>
      <rgbColor rgb="FF566159"/>
      <rgbColor rgb="FF969696"/>
      <rgbColor rgb="FF003366"/>
      <rgbColor rgb="FF2E7D4F"/>
      <rgbColor rgb="FF1B2420"/>
      <rgbColor rgb="FF222222"/>
      <rgbColor rgb="FFC0392B"/>
      <rgbColor rgb="FF993366"/>
      <rgbColor rgb="FF333399"/>
      <rgbColor rgb="FF2E2A5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006E"/>
    <pageSetUpPr fitToPage="false"/>
  </sheetPr>
  <dimension ref="A1:J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1" activePane="bottomLeft" state="frozen"/>
      <selection pane="topLeft" activeCell="A1" activeCellId="0" sqref="A1"/>
      <selection pane="bottomLeft" activeCell="C11" activeCellId="0" sqref="C11"/>
    </sheetView>
  </sheetViews>
  <sheetFormatPr defaultColWidth="8.5625" defaultRowHeight="14.2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4" min="3" style="1" width="26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10"/>
    <col collapsed="false" customWidth="true" hidden="false" outlineLevel="0" max="8" min="8" style="1" width="26"/>
    <col collapsed="false" customWidth="true" hidden="false" outlineLevel="0" max="10" min="9" style="1" width="2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4.2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9.5" hidden="false" customHeight="true" outlineLevel="0" collapsed="false">
      <c r="A4" s="4" t="s">
        <v>2</v>
      </c>
      <c r="B4" s="5" t="s">
        <v>3</v>
      </c>
      <c r="D4" s="1" t="n">
        <v>4</v>
      </c>
      <c r="F4" s="4" t="s">
        <v>4</v>
      </c>
      <c r="G4" s="5" t="n">
        <v>4</v>
      </c>
    </row>
    <row r="5" customFormat="false" ht="19.5" hidden="false" customHeight="true" outlineLevel="0" collapsed="false">
      <c r="A5" s="4" t="s">
        <v>5</v>
      </c>
      <c r="B5" s="5" t="s">
        <v>6</v>
      </c>
      <c r="F5" s="4" t="s">
        <v>7</v>
      </c>
      <c r="G5" s="5"/>
    </row>
    <row r="6" customFormat="false" ht="19.5" hidden="false" customHeight="true" outlineLevel="0" collapsed="false">
      <c r="A6" s="4" t="s">
        <v>8</v>
      </c>
      <c r="B6" s="6" t="str">
        <f aca="false">IF(B5="Autumn","Identity &amp; Belonging",IF(B5="Spring","Resilience &amp; Change",IF(B5="Summer","Our World, My Future","pick a term")))</f>
        <v>Identity &amp; Belonging</v>
      </c>
      <c r="C6" s="6"/>
      <c r="D6" s="6"/>
      <c r="F6" s="4" t="s">
        <v>9</v>
      </c>
      <c r="G6" s="5"/>
    </row>
    <row r="7" customFormat="false" ht="19.5" hidden="false" customHeight="true" outlineLevel="0" collapsed="false">
      <c r="A7" s="4" t="s">
        <v>10</v>
      </c>
      <c r="B7" s="7" t="n">
        <v>46286</v>
      </c>
      <c r="F7" s="4" t="s">
        <v>11</v>
      </c>
      <c r="G7" s="5"/>
    </row>
    <row r="8" customFormat="false" ht="45.75" hidden="false" customHeight="true" outlineLevel="0" collapsed="false">
      <c r="A8" s="8" t="s">
        <v>12</v>
      </c>
      <c r="B8" s="8"/>
      <c r="C8" s="8"/>
      <c r="D8" s="8"/>
      <c r="E8" s="8"/>
      <c r="F8" s="8"/>
      <c r="G8" s="8"/>
      <c r="H8" s="8"/>
      <c r="I8" s="8"/>
      <c r="J8" s="8"/>
    </row>
    <row r="9" customFormat="false" ht="30" hidden="false" customHeight="true" outlineLevel="0" collapsed="false">
      <c r="A9" s="9" t="s">
        <v>13</v>
      </c>
      <c r="B9" s="9" t="s">
        <v>14</v>
      </c>
      <c r="C9" s="9" t="s">
        <v>15</v>
      </c>
      <c r="D9" s="9" t="s">
        <v>16</v>
      </c>
      <c r="E9" s="9" t="s">
        <v>17</v>
      </c>
      <c r="F9" s="9" t="s">
        <v>18</v>
      </c>
      <c r="G9" s="9" t="s">
        <v>19</v>
      </c>
      <c r="H9" s="9" t="s">
        <v>20</v>
      </c>
      <c r="I9" s="9" t="s">
        <v>21</v>
      </c>
      <c r="J9" s="9" t="s">
        <v>22</v>
      </c>
    </row>
    <row r="10" customFormat="false" ht="45.75" hidden="false" customHeight="true" outlineLevel="0" collapsed="false">
      <c r="A10" s="10" t="s">
        <v>23</v>
      </c>
      <c r="B10" s="11" t="s">
        <v>24</v>
      </c>
      <c r="C10" s="11" t="s">
        <v>25</v>
      </c>
      <c r="D10" s="11" t="s">
        <v>26</v>
      </c>
      <c r="E10" s="11" t="s">
        <v>27</v>
      </c>
      <c r="F10" s="11" t="s">
        <v>28</v>
      </c>
      <c r="G10" s="12" t="s">
        <v>29</v>
      </c>
      <c r="H10" s="11" t="s">
        <v>30</v>
      </c>
      <c r="I10" s="11" t="s">
        <v>31</v>
      </c>
      <c r="J10" s="11" t="s">
        <v>32</v>
      </c>
    </row>
    <row r="11" customFormat="false" ht="330" hidden="false" customHeight="true" outlineLevel="0" collapsed="false">
      <c r="A11" s="13" t="s">
        <v>33</v>
      </c>
      <c r="B11" s="14" t="s">
        <v>34</v>
      </c>
      <c r="C11" s="14" t="s">
        <v>35</v>
      </c>
      <c r="D11" s="15" t="s">
        <v>36</v>
      </c>
      <c r="E11" s="15" t="s">
        <v>37</v>
      </c>
      <c r="F11" s="15" t="s">
        <v>38</v>
      </c>
      <c r="G11" s="14" t="s">
        <v>29</v>
      </c>
      <c r="H11" s="15" t="s">
        <v>39</v>
      </c>
      <c r="I11" s="15" t="s">
        <v>40</v>
      </c>
      <c r="J11" s="14" t="s">
        <v>41</v>
      </c>
    </row>
    <row r="12" customFormat="false" ht="339.75" hidden="false" customHeight="true" outlineLevel="0" collapsed="false">
      <c r="A12" s="10" t="s">
        <v>42</v>
      </c>
      <c r="B12" s="12" t="s">
        <v>43</v>
      </c>
      <c r="C12" s="16" t="s">
        <v>44</v>
      </c>
      <c r="D12" s="12" t="s">
        <v>45</v>
      </c>
      <c r="E12" s="12" t="s">
        <v>46</v>
      </c>
      <c r="F12" s="12" t="s">
        <v>47</v>
      </c>
      <c r="G12" s="12" t="s">
        <v>29</v>
      </c>
      <c r="H12" s="12" t="s">
        <v>48</v>
      </c>
      <c r="I12" s="12" t="s">
        <v>49</v>
      </c>
      <c r="J12" s="12" t="s">
        <v>50</v>
      </c>
    </row>
    <row r="13" customFormat="false" ht="330" hidden="false" customHeight="true" outlineLevel="0" collapsed="false">
      <c r="A13" s="13" t="s">
        <v>51</v>
      </c>
      <c r="B13" s="14" t="s">
        <v>52</v>
      </c>
      <c r="C13" s="14" t="s">
        <v>53</v>
      </c>
      <c r="D13" s="14" t="s">
        <v>54</v>
      </c>
      <c r="E13" s="14" t="s">
        <v>55</v>
      </c>
      <c r="F13" s="14" t="s">
        <v>56</v>
      </c>
      <c r="G13" s="14" t="s">
        <v>29</v>
      </c>
      <c r="H13" s="14" t="s">
        <v>57</v>
      </c>
      <c r="I13" s="14" t="s">
        <v>58</v>
      </c>
      <c r="J13" s="14" t="s">
        <v>59</v>
      </c>
    </row>
    <row r="14" customFormat="false" ht="330" hidden="false" customHeight="true" outlineLevel="0" collapsed="false">
      <c r="A14" s="10" t="s">
        <v>60</v>
      </c>
      <c r="B14" s="12" t="s">
        <v>61</v>
      </c>
      <c r="C14" s="16" t="s">
        <v>62</v>
      </c>
      <c r="D14" s="12" t="s">
        <v>63</v>
      </c>
      <c r="E14" s="12" t="s">
        <v>64</v>
      </c>
      <c r="F14" s="12" t="s">
        <v>65</v>
      </c>
      <c r="G14" s="12" t="s">
        <v>29</v>
      </c>
      <c r="H14" s="12" t="s">
        <v>66</v>
      </c>
      <c r="I14" s="12" t="s">
        <v>67</v>
      </c>
      <c r="J14" s="12" t="s">
        <v>68</v>
      </c>
    </row>
    <row r="15" customFormat="false" ht="330" hidden="false" customHeight="true" outlineLevel="0" collapsed="false">
      <c r="A15" s="13" t="s">
        <v>69</v>
      </c>
      <c r="B15" s="14" t="s">
        <v>70</v>
      </c>
      <c r="C15" s="16" t="s">
        <v>71</v>
      </c>
      <c r="D15" s="12" t="s">
        <v>72</v>
      </c>
      <c r="E15" s="12" t="s">
        <v>73</v>
      </c>
      <c r="F15" s="12" t="s">
        <v>74</v>
      </c>
      <c r="G15" s="12" t="s">
        <v>29</v>
      </c>
      <c r="H15" s="12" t="s">
        <v>75</v>
      </c>
      <c r="I15" s="12" t="s">
        <v>76</v>
      </c>
      <c r="J15" s="12" t="s">
        <v>77</v>
      </c>
    </row>
    <row r="16" customFormat="false" ht="330" hidden="false" customHeight="true" outlineLevel="0" collapsed="false">
      <c r="A16" s="10" t="s">
        <v>78</v>
      </c>
      <c r="B16" s="12" t="s">
        <v>79</v>
      </c>
      <c r="C16" s="16" t="s">
        <v>80</v>
      </c>
      <c r="D16" s="12" t="s">
        <v>81</v>
      </c>
      <c r="E16" s="12" t="s">
        <v>82</v>
      </c>
      <c r="F16" s="12" t="s">
        <v>83</v>
      </c>
      <c r="G16" s="12" t="s">
        <v>29</v>
      </c>
      <c r="H16" s="12" t="s">
        <v>84</v>
      </c>
      <c r="I16" s="12" t="s">
        <v>85</v>
      </c>
      <c r="J16" s="12" t="s">
        <v>86</v>
      </c>
    </row>
    <row r="17" customFormat="false" ht="45.75" hidden="false" customHeight="true" outlineLevel="0" collapsed="false">
      <c r="A17" s="13" t="s">
        <v>87</v>
      </c>
      <c r="B17" s="14"/>
      <c r="C17" s="14"/>
      <c r="D17" s="14"/>
      <c r="E17" s="14"/>
      <c r="F17" s="14"/>
      <c r="G17" s="14"/>
      <c r="H17" s="14"/>
      <c r="I17" s="14"/>
      <c r="J17" s="14"/>
    </row>
    <row r="18" customFormat="false" ht="45.75" hidden="false" customHeight="true" outlineLevel="0" collapsed="false">
      <c r="A18" s="10" t="s">
        <v>88</v>
      </c>
      <c r="B18" s="12" t="s">
        <v>89</v>
      </c>
      <c r="C18" s="12" t="s">
        <v>90</v>
      </c>
      <c r="D18" s="12" t="s">
        <v>91</v>
      </c>
      <c r="E18" s="12" t="s">
        <v>92</v>
      </c>
      <c r="F18" s="12" t="s">
        <v>93</v>
      </c>
      <c r="G18" s="12" t="s">
        <v>29</v>
      </c>
      <c r="H18" s="12" t="s">
        <v>94</v>
      </c>
      <c r="I18" s="12" t="s">
        <v>95</v>
      </c>
      <c r="J18" s="12"/>
    </row>
    <row r="19" customFormat="false" ht="45.75" hidden="false" customHeight="true" outlineLevel="0" collapsed="false">
      <c r="A19" s="10" t="s">
        <v>96</v>
      </c>
      <c r="B19" s="12" t="s">
        <v>97</v>
      </c>
      <c r="C19" s="12" t="s">
        <v>98</v>
      </c>
      <c r="D19" s="12" t="s">
        <v>99</v>
      </c>
      <c r="E19" s="12" t="s">
        <v>100</v>
      </c>
      <c r="F19" s="12" t="s">
        <v>101</v>
      </c>
      <c r="G19" s="12" t="s">
        <v>29</v>
      </c>
      <c r="H19" s="12" t="s">
        <v>102</v>
      </c>
      <c r="I19" s="12" t="s">
        <v>103</v>
      </c>
      <c r="J19" s="12"/>
    </row>
    <row r="20" customFormat="false" ht="45.75" hidden="false" customHeight="true" outlineLevel="0" collapsed="false">
      <c r="A20" s="10" t="s">
        <v>104</v>
      </c>
      <c r="B20" s="12" t="s">
        <v>105</v>
      </c>
      <c r="C20" s="12" t="s">
        <v>106</v>
      </c>
      <c r="D20" s="12" t="s">
        <v>107</v>
      </c>
      <c r="E20" s="12" t="s">
        <v>108</v>
      </c>
      <c r="F20" s="12" t="s">
        <v>109</v>
      </c>
      <c r="G20" s="12" t="s">
        <v>29</v>
      </c>
      <c r="H20" s="12" t="s">
        <v>102</v>
      </c>
      <c r="I20" s="12" t="s">
        <v>110</v>
      </c>
      <c r="J20" s="12"/>
    </row>
    <row r="21" customFormat="false" ht="45.75" hidden="false" customHeight="true" outlineLevel="0" collapsed="false">
      <c r="A21" s="10" t="s">
        <v>111</v>
      </c>
      <c r="B21" s="12" t="s">
        <v>112</v>
      </c>
      <c r="C21" s="12" t="s">
        <v>113</v>
      </c>
      <c r="D21" s="12" t="s">
        <v>114</v>
      </c>
      <c r="E21" s="12" t="s">
        <v>115</v>
      </c>
      <c r="F21" s="12" t="s">
        <v>116</v>
      </c>
      <c r="G21" s="12" t="s">
        <v>29</v>
      </c>
      <c r="H21" s="12" t="s">
        <v>102</v>
      </c>
      <c r="I21" s="12" t="s">
        <v>117</v>
      </c>
      <c r="J21" s="12"/>
    </row>
    <row r="22" customFormat="false" ht="45.75" hidden="false" customHeight="true" outlineLevel="0" collapsed="false">
      <c r="A22" s="10" t="s">
        <v>118</v>
      </c>
      <c r="B22" s="12" t="s">
        <v>119</v>
      </c>
      <c r="C22" s="12" t="s">
        <v>120</v>
      </c>
      <c r="D22" s="12" t="s">
        <v>121</v>
      </c>
      <c r="E22" s="12" t="s">
        <v>122</v>
      </c>
      <c r="F22" s="12" t="s">
        <v>123</v>
      </c>
      <c r="G22" s="12" t="s">
        <v>29</v>
      </c>
      <c r="H22" s="12" t="s">
        <v>102</v>
      </c>
      <c r="I22" s="12" t="s">
        <v>124</v>
      </c>
      <c r="J22" s="12"/>
    </row>
    <row r="23" customFormat="false" ht="45.75" hidden="false" customHeight="true" outlineLevel="0" collapsed="false">
      <c r="A23" s="10" t="s">
        <v>125</v>
      </c>
      <c r="B23" s="12" t="s">
        <v>126</v>
      </c>
      <c r="C23" s="12" t="s">
        <v>127</v>
      </c>
      <c r="D23" s="12" t="s">
        <v>128</v>
      </c>
      <c r="E23" s="12" t="s">
        <v>129</v>
      </c>
      <c r="F23" s="12" t="s">
        <v>130</v>
      </c>
      <c r="G23" s="12" t="s">
        <v>29</v>
      </c>
      <c r="H23" s="12" t="s">
        <v>102</v>
      </c>
      <c r="I23" s="12" t="s">
        <v>131</v>
      </c>
      <c r="J23" s="12"/>
    </row>
    <row r="24" customFormat="false" ht="45.75" hidden="false" customHeight="true" outlineLevel="0" collapsed="false">
      <c r="A24" s="10" t="s">
        <v>132</v>
      </c>
      <c r="B24" s="12" t="s">
        <v>133</v>
      </c>
      <c r="C24" s="12" t="s">
        <v>134</v>
      </c>
      <c r="D24" s="12" t="s">
        <v>135</v>
      </c>
      <c r="E24" s="12" t="s">
        <v>136</v>
      </c>
      <c r="F24" s="12" t="s">
        <v>137</v>
      </c>
      <c r="G24" s="12" t="s">
        <v>29</v>
      </c>
      <c r="H24" s="12" t="s">
        <v>102</v>
      </c>
      <c r="I24" s="12" t="s">
        <v>138</v>
      </c>
      <c r="J24" s="12"/>
    </row>
    <row r="26" customFormat="false" ht="18" hidden="false" customHeight="true" outlineLevel="0" collapsed="false">
      <c r="A26" s="17" t="s">
        <v>139</v>
      </c>
      <c r="B26" s="17"/>
      <c r="C26" s="17"/>
      <c r="D26" s="17"/>
      <c r="E26" s="17"/>
      <c r="F26" s="17"/>
      <c r="G26" s="17"/>
      <c r="H26" s="17"/>
      <c r="I26" s="17"/>
      <c r="J26" s="17"/>
    </row>
    <row r="27" customFormat="false" ht="39.75" hidden="false" customHeight="true" outlineLevel="0" collapsed="false">
      <c r="A27" s="18" t="s">
        <v>140</v>
      </c>
      <c r="B27" s="18"/>
      <c r="C27" s="18"/>
      <c r="D27" s="18"/>
      <c r="E27" s="18"/>
      <c r="F27" s="18"/>
      <c r="G27" s="18"/>
      <c r="H27" s="18"/>
      <c r="I27" s="18"/>
      <c r="J27" s="18"/>
    </row>
    <row r="28" customFormat="false" ht="18" hidden="false" customHeight="true" outlineLevel="0" collapsed="false">
      <c r="A28" s="17" t="s">
        <v>141</v>
      </c>
      <c r="B28" s="17"/>
      <c r="C28" s="17"/>
      <c r="D28" s="17"/>
      <c r="E28" s="17"/>
      <c r="F28" s="17"/>
      <c r="G28" s="17"/>
      <c r="H28" s="17"/>
      <c r="I28" s="17"/>
      <c r="J28" s="17"/>
    </row>
    <row r="29" customFormat="false" ht="39.75" hidden="false" customHeight="true" outlineLevel="0" collapsed="false">
      <c r="A29" s="19" t="s">
        <v>142</v>
      </c>
      <c r="B29" s="19"/>
      <c r="C29" s="19"/>
      <c r="D29" s="19"/>
      <c r="E29" s="19"/>
      <c r="F29" s="19"/>
      <c r="G29" s="19"/>
      <c r="H29" s="19"/>
      <c r="I29" s="19"/>
      <c r="J29" s="19"/>
    </row>
    <row r="30" customFormat="false" ht="18" hidden="false" customHeight="true" outlineLevel="0" collapsed="false">
      <c r="A30" s="20" t="s">
        <v>143</v>
      </c>
      <c r="B30" s="20"/>
      <c r="C30" s="20"/>
      <c r="D30" s="20"/>
      <c r="E30" s="20"/>
      <c r="F30" s="20"/>
      <c r="G30" s="20"/>
      <c r="H30" s="20"/>
      <c r="I30" s="20"/>
      <c r="J30" s="20"/>
    </row>
  </sheetData>
  <mergeCells count="9">
    <mergeCell ref="A1:J1"/>
    <mergeCell ref="A2:J2"/>
    <mergeCell ref="B6:D6"/>
    <mergeCell ref="A8:J8"/>
    <mergeCell ref="A26:J26"/>
    <mergeCell ref="A27:J27"/>
    <mergeCell ref="A28:J28"/>
    <mergeCell ref="A29:J29"/>
    <mergeCell ref="A30:J30"/>
  </mergeCells>
  <dataValidations count="4">
    <dataValidation allowBlank="true" error="Pick a value from the list." errorStyle="stop" errorTitle="Choose from the list" operator="between" showDropDown="false" showErrorMessage="false" showInputMessage="false" sqref="B4" type="list">
      <formula1>"BUILD,GROW,LAUNCH"</formula1>
      <formula2>0</formula2>
    </dataValidation>
    <dataValidation allowBlank="true" error="Pick a value from the list." errorStyle="stop" errorTitle="Choose from the list" operator="between" showDropDown="false" showErrorMessage="false" showInputMessage="false" sqref="B5" type="list">
      <formula1>"Autumn,Spring,Summer"</formula1>
      <formula2>0</formula2>
    </dataValidation>
    <dataValidation allowBlank="true" error="Pick a value from the list." errorStyle="stop" errorTitle="Choose from the list" operator="between" showDropDown="false" showErrorMessage="false" showInputMessage="false" sqref="A10:A18" type="list">
      <formula1>"English,Maths,Science,PSHE / RSE,RE,Humanities,Arts (Arts Award),PE,Careers / Vocational (ASDAN),Computing / Digital,Personal Development / PfA"</formula1>
      <formula2>0</formula2>
    </dataValidation>
    <dataValidation allowBlank="true" error="Pick a value from the list." errorStyle="stop" errorTitle="Choose from the list" operator="between" showDropDown="false" showErrorMessage="false" showInputMessage="false" sqref="G10:G18" type="list">
      <formula1>"F,S,F + 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006E"/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D10" activeCellId="0" sqref="D10"/>
    </sheetView>
  </sheetViews>
  <sheetFormatPr defaultColWidth="8.562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1"/>
    <col collapsed="false" customWidth="true" hidden="false" outlineLevel="0" max="3" min="3" style="1" width="10"/>
    <col collapsed="false" customWidth="true" hidden="false" outlineLevel="0" max="4" min="4" style="1" width="15"/>
    <col collapsed="false" customWidth="true" hidden="false" outlineLevel="0" max="5" min="5" style="1" width="26"/>
    <col collapsed="false" customWidth="true" hidden="false" outlineLevel="0" max="7" min="6" style="1" width="36"/>
    <col collapsed="false" customWidth="true" hidden="false" outlineLevel="0" max="8" min="8" style="1" width="22"/>
    <col collapsed="false" customWidth="true" hidden="false" outlineLevel="0" max="9" min="9" style="1" width="26"/>
  </cols>
  <sheetData>
    <row r="1" customFormat="false" ht="25.5" hidden="false" customHeight="true" outlineLevel="0" collapsed="false">
      <c r="A1" s="21" t="s">
        <v>144</v>
      </c>
      <c r="B1" s="21"/>
      <c r="C1" s="21"/>
      <c r="D1" s="21"/>
      <c r="E1" s="21"/>
      <c r="F1" s="21"/>
      <c r="G1" s="21"/>
      <c r="H1" s="21"/>
      <c r="I1" s="21"/>
    </row>
    <row r="2" customFormat="false" ht="14.2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4" customFormat="false" ht="27.75" hidden="false" customHeight="true" outlineLevel="0" collapsed="false">
      <c r="A4" s="9" t="s">
        <v>145</v>
      </c>
      <c r="B4" s="9" t="s">
        <v>2</v>
      </c>
      <c r="C4" s="9" t="s">
        <v>146</v>
      </c>
      <c r="D4" s="9" t="s">
        <v>147</v>
      </c>
      <c r="E4" s="9" t="s">
        <v>148</v>
      </c>
      <c r="F4" s="9" t="s">
        <v>149</v>
      </c>
      <c r="G4" s="9" t="s">
        <v>150</v>
      </c>
      <c r="H4" s="9" t="s">
        <v>151</v>
      </c>
      <c r="I4" s="9" t="s">
        <v>152</v>
      </c>
    </row>
    <row r="5" customFormat="false" ht="174.75" hidden="false" customHeight="true" outlineLevel="0" collapsed="false">
      <c r="A5" s="10" t="s">
        <v>153</v>
      </c>
      <c r="B5" s="12" t="s">
        <v>3</v>
      </c>
      <c r="C5" s="12" t="s">
        <v>154</v>
      </c>
      <c r="D5" s="22"/>
      <c r="E5" s="22"/>
      <c r="F5" s="22"/>
      <c r="G5" s="22"/>
      <c r="H5" s="22"/>
      <c r="I5" s="22"/>
    </row>
    <row r="6" customFormat="false" ht="174.75" hidden="false" customHeight="true" outlineLevel="0" collapsed="false">
      <c r="A6" s="10" t="s">
        <v>155</v>
      </c>
      <c r="B6" s="12" t="s">
        <v>3</v>
      </c>
      <c r="C6" s="12" t="s">
        <v>154</v>
      </c>
      <c r="D6" s="22"/>
      <c r="E6" s="22"/>
      <c r="F6" s="22"/>
      <c r="G6" s="22"/>
      <c r="H6" s="22"/>
      <c r="I6" s="22"/>
    </row>
    <row r="7" customFormat="false" ht="174.75" hidden="false" customHeight="true" outlineLevel="0" collapsed="false">
      <c r="A7" s="10" t="s">
        <v>156</v>
      </c>
      <c r="B7" s="12" t="s">
        <v>3</v>
      </c>
      <c r="C7" s="12" t="s">
        <v>154</v>
      </c>
      <c r="D7" s="22"/>
      <c r="E7" s="22"/>
      <c r="F7" s="22"/>
      <c r="G7" s="22"/>
      <c r="H7" s="22"/>
      <c r="I7" s="22"/>
    </row>
    <row r="8" customFormat="false" ht="174.75" hidden="false" customHeight="true" outlineLevel="0" collapsed="false">
      <c r="A8" s="10" t="s">
        <v>157</v>
      </c>
      <c r="B8" s="12" t="s">
        <v>3</v>
      </c>
      <c r="C8" s="12" t="s">
        <v>154</v>
      </c>
      <c r="D8" s="22"/>
      <c r="E8" s="22"/>
      <c r="F8" s="22"/>
      <c r="G8" s="22"/>
      <c r="H8" s="22"/>
      <c r="I8" s="22"/>
    </row>
    <row r="9" customFormat="false" ht="30" hidden="false" customHeight="true" outlineLevel="0" collapsed="false">
      <c r="A9" s="23"/>
      <c r="B9" s="23"/>
      <c r="C9" s="23"/>
      <c r="D9" s="23"/>
      <c r="E9" s="23"/>
      <c r="F9" s="23"/>
      <c r="G9" s="23"/>
      <c r="H9" s="23"/>
      <c r="I9" s="23"/>
    </row>
    <row r="10" customFormat="false" ht="30" hidden="false" customHeight="true" outlineLevel="0" collapsed="false">
      <c r="A10" s="24"/>
      <c r="B10" s="24"/>
      <c r="C10" s="24"/>
      <c r="D10" s="24"/>
      <c r="E10" s="24"/>
      <c r="F10" s="24"/>
      <c r="G10" s="24"/>
      <c r="H10" s="24"/>
      <c r="I10" s="24"/>
    </row>
    <row r="11" customFormat="false" ht="30" hidden="false" customHeight="true" outlineLevel="0" collapsed="false">
      <c r="A11" s="23"/>
      <c r="B11" s="23"/>
      <c r="C11" s="23"/>
      <c r="D11" s="23"/>
      <c r="E11" s="23"/>
      <c r="F11" s="23"/>
      <c r="G11" s="23"/>
      <c r="H11" s="23"/>
      <c r="I11" s="23"/>
    </row>
    <row r="12" customFormat="false" ht="30" hidden="false" customHeight="true" outlineLevel="0" collapsed="false">
      <c r="A12" s="24"/>
      <c r="B12" s="24"/>
      <c r="C12" s="24"/>
      <c r="D12" s="24"/>
      <c r="E12" s="24"/>
      <c r="F12" s="24"/>
      <c r="G12" s="24"/>
      <c r="H12" s="24"/>
      <c r="I12" s="24"/>
    </row>
    <row r="13" customFormat="false" ht="30" hidden="false" customHeight="true" outlineLevel="0" collapsed="false">
      <c r="A13" s="23"/>
      <c r="B13" s="23"/>
      <c r="C13" s="23"/>
      <c r="D13" s="23"/>
      <c r="E13" s="23"/>
      <c r="F13" s="23"/>
      <c r="G13" s="23"/>
      <c r="H13" s="23"/>
      <c r="I13" s="23"/>
    </row>
    <row r="14" customFormat="false" ht="30" hidden="false" customHeight="true" outlineLevel="0" collapsed="false">
      <c r="A14" s="24"/>
      <c r="B14" s="24"/>
      <c r="C14" s="24"/>
      <c r="D14" s="24"/>
      <c r="E14" s="24"/>
      <c r="F14" s="24"/>
      <c r="G14" s="24"/>
      <c r="H14" s="24"/>
      <c r="I14" s="24"/>
    </row>
    <row r="15" customFormat="false" ht="30" hidden="false" customHeight="true" outlineLevel="0" collapsed="false">
      <c r="A15" s="23"/>
      <c r="B15" s="23"/>
      <c r="C15" s="23"/>
      <c r="D15" s="23"/>
      <c r="E15" s="23"/>
      <c r="F15" s="23"/>
      <c r="G15" s="23"/>
      <c r="H15" s="23"/>
      <c r="I15" s="23"/>
    </row>
    <row r="16" customFormat="false" ht="30" hidden="false" customHeight="true" outlineLevel="0" collapsed="false">
      <c r="A16" s="24"/>
      <c r="B16" s="24"/>
      <c r="C16" s="24"/>
      <c r="D16" s="24"/>
      <c r="E16" s="24"/>
      <c r="F16" s="24"/>
      <c r="G16" s="24"/>
      <c r="H16" s="24"/>
      <c r="I16" s="24"/>
    </row>
    <row r="17" customFormat="false" ht="30" hidden="false" customHeight="true" outlineLevel="0" collapsed="false">
      <c r="A17" s="23"/>
      <c r="B17" s="23"/>
      <c r="C17" s="23"/>
      <c r="D17" s="23"/>
      <c r="E17" s="23"/>
      <c r="F17" s="23"/>
      <c r="G17" s="23"/>
      <c r="H17" s="23"/>
      <c r="I17" s="23"/>
    </row>
    <row r="18" customFormat="false" ht="30" hidden="false" customHeight="true" outlineLevel="0" collapsed="false">
      <c r="A18" s="24"/>
      <c r="B18" s="24"/>
      <c r="C18" s="24"/>
      <c r="D18" s="24"/>
      <c r="E18" s="24"/>
      <c r="F18" s="24"/>
      <c r="G18" s="24"/>
      <c r="H18" s="24"/>
      <c r="I18" s="24"/>
    </row>
    <row r="19" customFormat="false" ht="30" hidden="false" customHeight="true" outlineLevel="0" collapsed="false">
      <c r="A19" s="23"/>
      <c r="B19" s="23"/>
      <c r="C19" s="23"/>
      <c r="D19" s="23"/>
      <c r="E19" s="23"/>
      <c r="F19" s="23"/>
      <c r="G19" s="23"/>
      <c r="H19" s="23"/>
      <c r="I19" s="23"/>
    </row>
  </sheetData>
  <mergeCells count="2">
    <mergeCell ref="A1:I1"/>
    <mergeCell ref="A2:I2"/>
  </mergeCells>
  <conditionalFormatting sqref="B5:B19">
    <cfRule type="cellIs" priority="2" operator="equal" aboveAverage="0" equalAverage="0" bottom="0" percent="0" rank="0" text="" dxfId="0">
      <formula>"BUILD"</formula>
    </cfRule>
    <cfRule type="cellIs" priority="3" operator="equal" aboveAverage="0" equalAverage="0" bottom="0" percent="0" rank="0" text="" dxfId="1">
      <formula>"GROW"</formula>
    </cfRule>
    <cfRule type="cellIs" priority="4" operator="equal" aboveAverage="0" equalAverage="0" bottom="0" percent="0" rank="0" text="" dxfId="2">
      <formula>"LAUNCH"</formula>
    </cfRule>
  </conditionalFormatting>
  <dataValidations count="1">
    <dataValidation allowBlank="true" error="Pick a value from the list." errorStyle="stop" errorTitle="Choose from the list" operator="between" showDropDown="false" showErrorMessage="false" showInputMessage="false" sqref="B5:B19" type="list">
      <formula1>"BUILD,GROW,LAUNCH"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006E"/>
    <pageSetUpPr fitToPage="false"/>
  </sheetPr>
  <dimension ref="A1:I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D7" activeCellId="0" sqref="D7"/>
    </sheetView>
  </sheetViews>
  <sheetFormatPr defaultColWidth="8.5625" defaultRowHeight="14.2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1"/>
    <col collapsed="false" customWidth="true" hidden="false" outlineLevel="0" max="3" min="3" style="1" width="16"/>
    <col collapsed="false" customWidth="true" hidden="false" outlineLevel="0" max="4" min="4" style="1" width="28"/>
    <col collapsed="false" customWidth="true" hidden="false" outlineLevel="0" max="5" min="5" style="1" width="24"/>
    <col collapsed="false" customWidth="true" hidden="false" outlineLevel="0" max="6" min="6" style="1" width="9"/>
    <col collapsed="false" customWidth="true" hidden="false" outlineLevel="0" max="7" min="7" style="1" width="24"/>
    <col collapsed="false" customWidth="true" hidden="false" outlineLevel="0" max="8" min="8" style="1" width="18"/>
    <col collapsed="false" customWidth="true" hidden="false" outlineLevel="0" max="9" min="9" style="1" width="26"/>
  </cols>
  <sheetData>
    <row r="1" customFormat="false" ht="25.5" hidden="false" customHeight="true" outlineLevel="0" collapsed="false">
      <c r="A1" s="25" t="s">
        <v>158</v>
      </c>
      <c r="B1" s="25"/>
      <c r="C1" s="25"/>
      <c r="D1" s="25"/>
      <c r="E1" s="25"/>
      <c r="F1" s="25"/>
      <c r="G1" s="25"/>
      <c r="H1" s="25"/>
      <c r="I1" s="25"/>
    </row>
    <row r="2" customFormat="false" ht="14.25" hidden="false" customHeight="true" outlineLevel="0" collapsed="false">
      <c r="A2" s="26" t="s">
        <v>159</v>
      </c>
      <c r="B2" s="26"/>
      <c r="C2" s="26"/>
      <c r="D2" s="26"/>
      <c r="E2" s="26"/>
      <c r="F2" s="26"/>
      <c r="G2" s="26"/>
      <c r="H2" s="26"/>
      <c r="I2" s="26"/>
    </row>
    <row r="3" customFormat="false" ht="18" hidden="false" customHeight="true" outlineLevel="0" collapsed="false">
      <c r="A3" s="27" t="s">
        <v>160</v>
      </c>
      <c r="B3" s="28" t="s">
        <v>161</v>
      </c>
      <c r="C3" s="28"/>
      <c r="D3" s="29" t="s">
        <v>162</v>
      </c>
      <c r="E3" s="28" t="s">
        <v>163</v>
      </c>
      <c r="F3" s="28"/>
      <c r="G3" s="30" t="s">
        <v>164</v>
      </c>
      <c r="H3" s="28" t="s">
        <v>165</v>
      </c>
      <c r="I3" s="28"/>
    </row>
    <row r="5" customFormat="false" ht="27.75" hidden="false" customHeight="true" outlineLevel="0" collapsed="false">
      <c r="A5" s="9" t="s">
        <v>166</v>
      </c>
      <c r="B5" s="9" t="s">
        <v>2</v>
      </c>
      <c r="C5" s="9" t="s">
        <v>13</v>
      </c>
      <c r="D5" s="9" t="s">
        <v>167</v>
      </c>
      <c r="E5" s="9" t="s">
        <v>168</v>
      </c>
      <c r="F5" s="9" t="s">
        <v>169</v>
      </c>
      <c r="G5" s="9" t="s">
        <v>170</v>
      </c>
      <c r="H5" s="9" t="s">
        <v>171</v>
      </c>
      <c r="I5" s="9" t="s">
        <v>172</v>
      </c>
    </row>
    <row r="6" customFormat="false" ht="30" hidden="false" customHeight="true" outlineLevel="0" collapsed="false">
      <c r="A6" s="31" t="n">
        <v>46286</v>
      </c>
      <c r="B6" s="32" t="s">
        <v>3</v>
      </c>
      <c r="C6" s="32" t="s">
        <v>23</v>
      </c>
      <c r="D6" s="11" t="s">
        <v>173</v>
      </c>
      <c r="E6" s="24"/>
      <c r="F6" s="24"/>
      <c r="G6" s="24"/>
      <c r="H6" s="24"/>
      <c r="I6" s="24"/>
    </row>
    <row r="7" customFormat="false" ht="30" hidden="false" customHeight="true" outlineLevel="0" collapsed="false">
      <c r="A7" s="31" t="n">
        <v>46286</v>
      </c>
      <c r="B7" s="12" t="s">
        <v>3</v>
      </c>
      <c r="C7" s="32" t="s">
        <v>33</v>
      </c>
      <c r="D7" s="14" t="s">
        <v>35</v>
      </c>
      <c r="E7" s="24"/>
      <c r="F7" s="24"/>
      <c r="G7" s="24"/>
      <c r="H7" s="24"/>
      <c r="I7" s="24"/>
    </row>
    <row r="8" customFormat="false" ht="30" hidden="false" customHeight="true" outlineLevel="0" collapsed="false">
      <c r="A8" s="31" t="n">
        <v>46286</v>
      </c>
      <c r="B8" s="12" t="s">
        <v>3</v>
      </c>
      <c r="C8" s="12" t="s">
        <v>42</v>
      </c>
      <c r="D8" s="12" t="s">
        <v>174</v>
      </c>
      <c r="E8" s="12"/>
      <c r="F8" s="12"/>
      <c r="G8" s="12"/>
      <c r="H8" s="12"/>
      <c r="I8" s="12"/>
    </row>
    <row r="9" customFormat="false" ht="30" hidden="false" customHeight="true" outlineLevel="0" collapsed="false">
      <c r="A9" s="31" t="n">
        <v>46286</v>
      </c>
      <c r="B9" s="12" t="s">
        <v>3</v>
      </c>
      <c r="C9" s="12" t="s">
        <v>51</v>
      </c>
      <c r="D9" s="12" t="s">
        <v>53</v>
      </c>
      <c r="E9" s="12"/>
      <c r="F9" s="12"/>
      <c r="G9" s="12"/>
      <c r="H9" s="12"/>
      <c r="I9" s="12"/>
    </row>
    <row r="10" customFormat="false" ht="30" hidden="false" customHeight="true" outlineLevel="0" collapsed="false">
      <c r="A10" s="31" t="n">
        <v>46286</v>
      </c>
      <c r="B10" s="12" t="s">
        <v>3</v>
      </c>
      <c r="C10" s="12" t="s">
        <v>69</v>
      </c>
      <c r="D10" s="12" t="s">
        <v>71</v>
      </c>
      <c r="E10" s="12"/>
      <c r="F10" s="12"/>
      <c r="G10" s="12"/>
      <c r="H10" s="12"/>
      <c r="I10" s="12"/>
    </row>
    <row r="11" customFormat="false" ht="30" hidden="false" customHeight="true" outlineLevel="0" collapsed="false">
      <c r="A11" s="31" t="n">
        <v>46286</v>
      </c>
      <c r="B11" s="12" t="s">
        <v>3</v>
      </c>
      <c r="C11" s="12" t="s">
        <v>78</v>
      </c>
      <c r="D11" s="12" t="s">
        <v>80</v>
      </c>
      <c r="E11" s="12"/>
      <c r="F11" s="12"/>
      <c r="G11" s="12"/>
      <c r="H11" s="12"/>
      <c r="I11" s="12"/>
    </row>
    <row r="12" customFormat="false" ht="30" hidden="false" customHeight="true" outlineLevel="0" collapsed="false">
      <c r="A12" s="31" t="n">
        <v>46286</v>
      </c>
      <c r="B12" s="12" t="s">
        <v>3</v>
      </c>
      <c r="C12" s="33" t="s">
        <v>60</v>
      </c>
      <c r="D12" s="16" t="s">
        <v>62</v>
      </c>
      <c r="E12" s="23"/>
      <c r="F12" s="23"/>
      <c r="G12" s="23"/>
      <c r="H12" s="23"/>
      <c r="I12" s="23"/>
    </row>
    <row r="13" customFormat="false" ht="30" hidden="false" customHeight="true" outlineLevel="0" collapsed="false">
      <c r="A13" s="34" t="n">
        <v>46286</v>
      </c>
      <c r="B13" s="33" t="s">
        <v>3</v>
      </c>
      <c r="C13" s="33" t="s">
        <v>88</v>
      </c>
      <c r="D13" s="23" t="s">
        <v>90</v>
      </c>
      <c r="E13" s="23" t="s">
        <v>175</v>
      </c>
      <c r="F13" s="23"/>
      <c r="G13" s="23"/>
      <c r="H13" s="23"/>
      <c r="I13" s="23"/>
    </row>
    <row r="14" customFormat="false" ht="30" hidden="false" customHeight="true" outlineLevel="0" collapsed="false">
      <c r="A14" s="35" t="n">
        <v>46286</v>
      </c>
      <c r="B14" s="32" t="s">
        <v>3</v>
      </c>
      <c r="C14" s="32" t="s">
        <v>176</v>
      </c>
      <c r="D14" s="24" t="s">
        <v>113</v>
      </c>
      <c r="E14" s="24" t="s">
        <v>177</v>
      </c>
      <c r="F14" s="24"/>
      <c r="G14" s="24"/>
      <c r="H14" s="24"/>
      <c r="I14" s="24"/>
    </row>
    <row r="15" customFormat="false" ht="25.5" hidden="false" customHeight="true" outlineLevel="0" collapsed="false">
      <c r="A15" s="34" t="n">
        <v>46286</v>
      </c>
      <c r="B15" s="33" t="s">
        <v>3</v>
      </c>
      <c r="C15" s="33" t="s">
        <v>178</v>
      </c>
      <c r="D15" s="23" t="s">
        <v>120</v>
      </c>
      <c r="E15" s="23" t="s">
        <v>179</v>
      </c>
      <c r="F15" s="23"/>
      <c r="G15" s="23"/>
      <c r="H15" s="23"/>
      <c r="I15" s="23"/>
    </row>
    <row r="16" customFormat="false" ht="25.5" hidden="false" customHeight="true" outlineLevel="0" collapsed="false">
      <c r="A16" s="24"/>
      <c r="B16" s="32"/>
      <c r="C16" s="32"/>
      <c r="D16" s="24"/>
      <c r="E16" s="24"/>
      <c r="F16" s="24"/>
      <c r="G16" s="24"/>
      <c r="H16" s="24"/>
      <c r="I16" s="24"/>
    </row>
    <row r="17" customFormat="false" ht="25.5" hidden="false" customHeight="true" outlineLevel="0" collapsed="false">
      <c r="A17" s="23"/>
      <c r="B17" s="33"/>
      <c r="C17" s="33"/>
      <c r="D17" s="23"/>
      <c r="E17" s="23"/>
      <c r="F17" s="23"/>
      <c r="G17" s="23"/>
      <c r="H17" s="23"/>
      <c r="I17" s="23"/>
    </row>
    <row r="18" customFormat="false" ht="25.5" hidden="false" customHeight="true" outlineLevel="0" collapsed="false">
      <c r="A18" s="24"/>
      <c r="B18" s="32"/>
      <c r="C18" s="32"/>
      <c r="D18" s="24"/>
      <c r="E18" s="24"/>
      <c r="F18" s="24"/>
      <c r="G18" s="24"/>
      <c r="H18" s="24"/>
      <c r="I18" s="24"/>
    </row>
    <row r="19" customFormat="false" ht="25.5" hidden="false" customHeight="true" outlineLevel="0" collapsed="false">
      <c r="A19" s="23"/>
      <c r="B19" s="33"/>
      <c r="C19" s="33"/>
      <c r="D19" s="23"/>
      <c r="E19" s="23"/>
      <c r="F19" s="23"/>
      <c r="G19" s="23"/>
      <c r="H19" s="23"/>
      <c r="I19" s="23"/>
    </row>
    <row r="20" customFormat="false" ht="25.5" hidden="false" customHeight="true" outlineLevel="0" collapsed="false">
      <c r="A20" s="24"/>
      <c r="B20" s="32"/>
      <c r="C20" s="32"/>
      <c r="D20" s="24"/>
      <c r="E20" s="24"/>
      <c r="F20" s="24"/>
      <c r="G20" s="24"/>
      <c r="H20" s="24"/>
      <c r="I20" s="24"/>
    </row>
    <row r="21" customFormat="false" ht="25.5" hidden="false" customHeight="true" outlineLevel="0" collapsed="false">
      <c r="A21" s="23"/>
      <c r="B21" s="33"/>
      <c r="C21" s="33"/>
      <c r="D21" s="23"/>
      <c r="E21" s="23"/>
      <c r="F21" s="23"/>
      <c r="G21" s="23"/>
      <c r="H21" s="23"/>
      <c r="I21" s="23"/>
    </row>
    <row r="22" customFormat="false" ht="25.5" hidden="false" customHeight="true" outlineLevel="0" collapsed="false"/>
    <row r="23" customFormat="false" ht="25.5" hidden="false" customHeight="true" outlineLevel="0" collapsed="false">
      <c r="C23" s="36" t="s">
        <v>180</v>
      </c>
      <c r="D23" s="37" t="n">
        <f aca="false">COUNTIF($F$8:$F$18,"Green")</f>
        <v>0</v>
      </c>
      <c r="E23" s="38" t="n">
        <f aca="false">COUNTIF($F$8:$F$18,"Amber")</f>
        <v>0</v>
      </c>
      <c r="F23" s="39" t="n">
        <f aca="false">COUNTIF($F$8:$F$18,"Red")</f>
        <v>0</v>
      </c>
    </row>
    <row r="24" customFormat="false" ht="25.5" hidden="false" customHeight="true" outlineLevel="0" collapsed="false">
      <c r="D24" s="40" t="s">
        <v>181</v>
      </c>
      <c r="E24" s="40" t="s">
        <v>182</v>
      </c>
      <c r="F24" s="40" t="s">
        <v>183</v>
      </c>
    </row>
    <row r="25" customFormat="false" ht="25.5" hidden="false" customHeight="true" outlineLevel="0" collapsed="false"/>
    <row r="26" customFormat="false" ht="25.5" hidden="false" customHeight="true" outlineLevel="0" collapsed="false"/>
  </sheetData>
  <mergeCells count="5">
    <mergeCell ref="A1:I1"/>
    <mergeCell ref="A2:I2"/>
    <mergeCell ref="B3:C3"/>
    <mergeCell ref="E3:F3"/>
    <mergeCell ref="H3:I3"/>
  </mergeCells>
  <conditionalFormatting sqref="F6:F26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3">
      <formula>"Amber"</formula>
    </cfRule>
    <cfRule type="cellIs" priority="4" operator="equal" aboveAverage="0" equalAverage="0" bottom="0" percent="0" rank="0" text="" dxfId="4">
      <formula>"Red"</formula>
    </cfRule>
  </conditionalFormatting>
  <dataValidations count="4">
    <dataValidation allowBlank="true" error="Pick a value from the list." errorStyle="stop" errorTitle="Choose from the list" operator="between" showDropDown="false" showErrorMessage="false" showInputMessage="false" sqref="B6:B26" type="list">
      <formula1>"BUILD,GROW,LAUNCH"</formula1>
      <formula2>0</formula2>
    </dataValidation>
    <dataValidation allowBlank="true" error="Pick a value from the list." errorStyle="stop" errorTitle="Choose from the list" operator="between" showDropDown="false" showErrorMessage="false" showInputMessage="false" sqref="C6:C26" type="list">
      <formula1>"English,Maths,Science,PSHE / RSE,RE,Humanities,Arts (Arts Award),PE,Careers / Vocational (ASDAN),Computing / Digital,Personal Development / PfA"</formula1>
      <formula2>0</formula2>
    </dataValidation>
    <dataValidation allowBlank="true" error="Pick a value from the list." errorStyle="stop" errorTitle="Choose from the list" operator="between" showDropDown="false" showErrorMessage="false" showInputMessage="false" sqref="F6:F26" type="list">
      <formula1>"Green,Amber,Red"</formula1>
      <formula2>0</formula2>
    </dataValidation>
    <dataValidation allowBlank="true" error="Pick a value from the list." errorStyle="stop" errorTitle="Choose from the list" operator="between" showDropDown="false" showErrorMessage="false" showInputMessage="false" sqref="H6:H26" type="list">
      <formula1>"Achieved (move on),Revisit in class,Intervention"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2026-06-22T07:46:21Z</dcterms:created>
  <dc:creator>openpyxl</dc:creator>
  <dc:description/>
  <dc:language>en-US</dc:language>
  <cp:lastModifiedBy>Helen Stewart</cp:lastModifiedBy>
  <dcterms:modified xsi:type="dcterms:W3CDTF">2026-07-15T11:04:51Z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0x0101002C6E38C4B2056147BFEE88C7F682B392</vt:lpwstr>
  </property>
  <property fmtid="{D5CDD505-2E9C-101B-9397-08002B2CF9AE}" pid="3" name="MediaServiceImageTags">
    <vt:lpwstr/>
  </property>
</Properties>
</file>