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ly Plan" sheetId="1" state="visible" r:id="rId3"/>
    <sheet name="Students" sheetId="2" state="visible" r:id="rId4"/>
    <sheet name="Outcomes RA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<sst xmlns="http://schemas.openxmlformats.org/spreadsheetml/2006/main" count="179" uniqueCount="143">
  <si>
    <t xml:space="preserve">Weekly Planner - To be submitted to Head of School prior to the start of each Half-Term</t>
  </si>
  <si>
    <t xml:space="preserve">Progress Schools  ·  linked to the 2026/27 Schemes of Work</t>
  </si>
  <si>
    <t xml:space="preserve">Pathway</t>
  </si>
  <si>
    <t xml:space="preserve">LAUNCH</t>
  </si>
  <si>
    <t xml:space="preserve">Week no.</t>
  </si>
  <si>
    <t xml:space="preserve">Term</t>
  </si>
  <si>
    <t xml:space="preserve">Autumn</t>
  </si>
  <si>
    <t xml:space="preserve">Group / class</t>
  </si>
  <si>
    <t xml:space="preserve">Theme</t>
  </si>
  <si>
    <t xml:space="preserve">Teacher</t>
  </si>
  <si>
    <t xml:space="preserve">Week commencing</t>
  </si>
  <si>
    <t xml:space="preserve">Reviewed by</t>
  </si>
  <si>
    <t xml:space="preserve">SMSC/BV this week: no calendar event — assembly series continues.  PREP: International Day of Peace is Monday of next week — plan the reflection now.</t>
  </si>
  <si>
    <t xml:space="preserve">Subject</t>
  </si>
  <si>
    <t xml:space="preserve">SoW unit (this term)</t>
  </si>
  <si>
    <t xml:space="preserve">This week's outcome</t>
  </si>
  <si>
    <t xml:space="preserve">Activities</t>
  </si>
  <si>
    <t xml:space="preserve">Key vocabulary</t>
  </si>
  <si>
    <t xml:space="preserve">Resources required</t>
  </si>
  <si>
    <t xml:space="preserve">Assess. (F/S)</t>
  </si>
  <si>
    <t xml:space="preserve">Student adaptations</t>
  </si>
  <si>
    <t xml:space="preserve">Classroom support</t>
  </si>
  <si>
    <t xml:space="preserve">Evaluation (after teaching)</t>
  </si>
  <si>
    <t xml:space="preserve">English</t>
  </si>
  <si>
    <t xml:space="preserve">Paper 1 Q2: analyse the writer's language on an unseen extract. AO2.</t>
  </si>
  <si>
    <t xml:space="preserve">I can choose a strong quote and explain how one word or method affects the reader.</t>
  </si>
  <si>
    <t xml:space="preserve">Arrival task: synonym/connotation and spot the method → model quote choice and one-word zoom → class annotate 2 quotes together → students rank quotes strong/okay/weak → write one PEEL-style paragraph or complete supported sentence stems.</t>
  </si>
  <si>
    <t xml:space="preserve">analyse, language, method, simile, metaphor, personification, adjective, verb, connotation, effect</t>
  </si>
  <si>
    <t xml:space="preserve">Unseen fiction extract; Q2 model answer; quote ranking cards; PEEL frame; word zoom sheet; device reminder mat.</t>
  </si>
  <si>
    <t xml:space="preserve">F</t>
  </si>
  <si>
    <t xml:space="preserve">Method matching cards; sentence starters; quote bank; one paragraph only; oral rehearsal before writing; laptop/scribe option; reduced writing frame.</t>
  </si>
  <si>
    <t xml:space="preserve">TA prompts students to pick one quote, zoom into one word and say the effect aloud before writing. Teacher targets misconceptions between method and effect.
LOOP [Feedback Policy]: Voice = in-lesson edit / green-pen redraft against the target [//, NS] → Audience: read the redraft against the mark scheme and name the improvement before [R]; deferred response 10–15 min next lesson for essays → EVIDENCE: coded, redrafted book + before/after photo [E: literacy].</t>
  </si>
  <si>
    <t xml:space="preserve">To complete after teaching: note students who can identify a method, zoom into a word, and explain effect without over-scaffolding.  → Influence: shapes the next instruction and the mock-exam plan; feeds the EHCP/PfA target at review [NS].</t>
  </si>
  <si>
    <t xml:space="preserve">Maths</t>
  </si>
  <si>
    <t xml:space="preserve">Number, money &amp; financial capability</t>
  </si>
  <si>
    <t xml:space="preserve">I can recognise, compare and convert fractions, decimals and percentages in a range of mathematical contexts.</t>
  </si>
  <si>
    <t xml:space="preserve">Recognise and identify common fractions, decimals and percentages, Compare fractions, decimals and percentages using visual models and number lines, Convert between simple fractions, decimals and percentages, Match equivalent fractions, decimals and percentages, Order fractions, decimals and percentages from smallest to largest, Solve practical and problem-solving activities involving fractions, decimals and percentages, Apply understanding to real-life contexts such as money, discounts and data.
FDP proved physically: cut and fold a chocolate bar/pizza template to show ½ = 0.5 = 50% — photograph the proofs; domino-loop matching race to finish.</t>
  </si>
  <si>
    <t xml:space="preserve">Fraction, Decimal, Percentage, Equivalent, Compare, Convert, Numerator, Denominator, Per cent, Greater than, Less than, Equal to</t>
  </si>
  <si>
    <t xml:space="preserve">Fraction walls, Decimal and percentage grids</t>
  </si>
  <si>
    <t xml:space="preserve">Use visual representations such as fraction walls, grids and number lines, Focus on common equivalent fractions, decimals and percentages before introducing more complex examples, Use practical contexts to reinforce understanding, Offer guided practice and adult support where needed, Extend higher-attaining pupils through reasoning and multi-step problem-solving tasks.
Per-pupil: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</si>
  <si>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Teacher modelling of comparison and conversion strategies, Guided group activities and targeted support, Regular reinforcement of mathematical vocabulary, Use of visual and practical resources throughout lessons.
LOOP [Feedback Policy]: Voice = mini-whiteboard show-me / worked re-do [VF, I] → Audience: mark against the method, one [NS]; [R] on an accurate re-do → EVIDENCE: station photo + book (payslips/ratio), same day [E: numeracy/PfA — counts toward the 3-piece weekly minimum].</t>
  </si>
  <si>
    <t xml:space="preserve">Influence: the grade-push skill identified shapes the next lesson and the December summative plan [NS].</t>
  </si>
  <si>
    <t xml:space="preserve">Science</t>
  </si>
  <si>
    <t xml:space="preserve">Edexcel GCSE Biology 1BI0 (F), Topic 1: using a microscope + magnification (CP1) · Paper 1 · SoW Aut1·W3</t>
  </si>
  <si>
    <t xml:space="preserve">I can focus a microscope on a specimen and calculate magnification using the formula.</t>
  </si>
  <si>
    <t xml:space="preserve">Arrival task: 'how small?' — order hair / grain of salt / cheek cell / bacterium smallest → largest. I DO: model low-power-first focusing (stage down, coarse then fine), then model magnification = image size ÷ actual size with units matched. WE DO: focus a prepared slide together; read total magnification (eyepiece × objective) off the barrel. YOU DO: CP1 — view onion/cheek slides, produce one labelled biological drawing (no shading, single clean lines, title, magnification stated); then 3 magnification calculations on the calc strip. EXIT: 'Total magnification = … × … = …' stem.  EXAM STRETCH: rearrange the formula to find actual size, and convert mm → μm (×1000) — a 3-mark question toward grade 4–5.  FADE &amp; COMMAND WORD: two steps merged this week (microscope + magnification) to buy the enzyme block in W6–W8. Scaffold stays FULL (worked example + calc strip); the fade begins W4. Command words: CALCULATE (show working, state units).</t>
  </si>
  <si>
    <t xml:space="preserve">microscope, eyepiece, objective, stage, coarse focus, fine focus, magnification, image size, actual size, μm, resolution, specimen</t>
  </si>
  <si>
    <t xml:space="preserve">Microscopes + prepared slides (onion, cheek); worked-example card; magnification calc strip (3 tiers); biological-drawing frame with title/magnification boxes; mm↔μm conversion mat; magenta copies; visualiser for modelling.</t>
  </si>
  <si>
    <t xml:space="preserve">Two-step merge is the risk this week — calc strip is tiered so the first tier is 'plug in the numbers', no rearranging. Drawing frame removes the blank-page barrier. Pupil A reads to self with discreet checks; Pupil B works independently and takes the rearrange tier; Pupil C: never on the spot or publicly corrected; calm quiet encouragement; clear success criteria and a model drawing on the desk; challenge on, pressure off when confidence dips.</t>
  </si>
  <si>
    <t xml:space="preserve">TA sets up and pre-focuses one microscope as the 'known good' so a failed focus never becomes a flashpoint; teacher models on the visualiser first. LOOP [Feedback Policy]: Voice = labelled biological drawing / magnification calc / verbal focus commentary [//, NS, I] → Audience: mark the calc against the mark scheme and name the improvement before [R]; deferred response 10–15 min next lesson → EVIDENCE: coded, redrafted drawing + calc strip, photo of the focused field [E: science — counts toward CP1 evidence for 1BI0].</t>
  </si>
  <si>
    <t xml:space="preserve">Note who focuses independently vs who needs the pre-focused scope; note who matches units without prompting.  → Influence: the calculation gap identified here shapes W4–W5 scaffolds, the December summative plan and the EHCP/PfA target at review [NS]; log RAG per topic to target re-teach. CP1 is banked this week — record it on the core-practical tracker (8 mandatory CPs).</t>
  </si>
  <si>
    <t xml:space="preserve">PSHE / RSE</t>
  </si>
  <si>
    <t xml:space="preserve">Identity, relationships &amp; rights in adult life · PSHE Association SEND framework · AQA UAS 'Healthy relationships' · SoW Aut1·W3</t>
  </si>
  <si>
    <t xml:space="preserve">I can explain what consent means and show how to set and respect a boundary.</t>
  </si>
  <si>
    <t xml:space="preserve">Builds on W2 traffic-lights (parental RSHE agreement in place).  Consent-as-a-cuppa clip as the anchor analogy → scenario freeze-frames with STOP / CHECK / GO cards held up live → script-flip workshop: take a pushy third-person script and rewrite it into a respectful one, performed in pairs or voice-recorded → make a private 'my boundaries' card to keep.  EVIDENCE: recorded script-flips + freeze-frame photos (AQA UAS 'Healthy relationships').  STRETCH: consent and the law — what does the law actually say?</t>
  </si>
  <si>
    <t xml:space="preserve">consent, boundary, respect, pressure, check, no</t>
  </si>
  <si>
    <t xml:space="preserve">Consent analogy clip; third-person scenario/script cards; STOP/CHECK/GO cards; private boundaries card blanks; voice recorder.</t>
  </si>
  <si>
    <t xml:space="preserve">All scenarios third-person and distanced — never personal; performing is optional with a voice-note alternative.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</si>
  <si>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partners in role-plays so no pupil is exposed; teacher holds the ground rules visibly; live feedback via the cards — written work minimal and private.
LOOP [Feedback Policy]: Voice = recorded micro-interview / script-flip / portfolio piece [VF] → Audience: listen fully, name one strength + one [NS] before tagging; then [R] → EVIDENCE: recording/portfolio to EFL, same day [E: PfA/careers/transition — weekly PfA minimum].</t>
  </si>
  <si>
    <t xml:space="preserve">Influence: feeds each pupil's real destination (college/barbering) → PfA plan and IEDP Outcome 5 [NS].</t>
  </si>
  <si>
    <t xml:space="preserve">RE</t>
  </si>
  <si>
    <t xml:space="preserve">Belief, Identity &amp; Belonging</t>
  </si>
  <si>
    <t xml:space="preserve">I can explain how sources of authority and meaning influence beliefs, values and ways of life.</t>
  </si>
  <si>
    <t xml:space="preserve">Authority auction: teams bid tokens on where guidance SHOULD come from for real dilemmas — sacred text, religious leader, tradition, conscience — and defend every bid → sacred-text speed-stations: short extracts around the room, match extract → tradition → what it guides → case-study verdicts on mini-whiteboards with instant class comparison.  EVIDENCE: auction board photo + verdicts (AQA UAS).  STRETCH: 'sources of authority' is GCSE RS vocabulary — use it correctly in a spoken sentence.</t>
  </si>
  <si>
    <t xml:space="preserve">Authority
Meaning
Belief
Faith
Worldview
Values
Sacred text
Teaching
Tradition
Scripture
Influence
Ethics
Morals
Purpose
Identity
Guidance
Religion
Philosophy</t>
  </si>
  <si>
    <t xml:space="preserve">Auction tokens + dilemma cards; sacred-text extract stations; case-study cards; mini-whiteboards; camera.</t>
  </si>
  <si>
    <t xml:space="preserve">Bidding and verdicts are team-based — nobody defends alone unless they choose to.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</si>
  <si>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joins a team to model justifying a bid; teacher runs the auction with live feedback on each defence; photos are the evidence.
LOOP [Feedback Policy]: Voice = P-E-E paragraph + spoken viva; green-pen upgrade [//, NS, ?] → Audience: mark against the RS scheme and name the improvement; deferred response for the write; [R] after the upgrade is received → EVIDENCE: paragraph + before/after photo + viva clip [E: RE].</t>
  </si>
  <si>
    <t xml:space="preserve">Influence: the command-word skill shapes the next exam-style question and the December summative [NS].</t>
  </si>
  <si>
    <t xml:space="preserve">Humanities</t>
  </si>
  <si>
    <t xml:space="preserve">NC KS3/4 History — migration &amp; identity in modern Britain (source enquiry). Shares English anchor texts (Coming to England, Natives). Optional stretch: GCSE History 8145 source skills.</t>
  </si>
  <si>
    <t xml:space="preserve">I can find one source in a digital archive and say how useful it is for learning about identity and belonging in Britain.</t>
  </si>
  <si>
    <t xml:space="preserve">Arrival task: 'real or fake?' — sort 3 image-and-caption cards → model the N.O.P. check (Nature, Origin, Purpose) on one archive photo → we do: evaluate a Windrush-era photograph together using a 3-box grid → you do: choose one source from a curated shortlist and complete the usefulness grid → exit: 'This source is useful because… but…' stem.  COMMAND WORD: 'how useful' is a GCSE source command — name it as such now; a strong answer = a point + evidence from the source + a 'but…' limitation.  Built across W3 → W7.</t>
  </si>
  <si>
    <t xml:space="preserve">source, archive, evidence, useful, reliable, nature, origin, purpose, migration, identity, belonging, Windrush</t>
  </si>
  <si>
    <t xml:space="preserve">Curated shortlist of 3-4 archive sources (screenshots pre-saved — no live searching); N.O.P. evaluation grid; magenta copies; sentence-stem bank; the same Coming to England extract used in English.</t>
  </si>
  <si>
    <t xml:space="preserve">Pre-selected sources remove reading-overload and safeguarding barriers. Pupil B works independently with grid + checklist. Pupil A reads to herself with a magenta overlay and is questioned discreetly. Option to record a verbal evaluation instead of writing; word bank for 'useful/reliable'.
Pupil C: never on the spot or publicly corrected; calm, quiet encouragement; clear success criteria and model examples; challenge on, pressure off when confidence dips.</t>
  </si>
  <si>
    <t xml:space="preserve">TA models the first grid box then fades. Teacher keeps the N.O.P. prompt on display and connects explicitly to the English extract so vocabulary is shared, not doubled.
LOOP [Feedback Policy]: Voice = source-based edit / structured account [//, NS] → Audience: read against the criteria and name the change; deferred for the account; then [R] → EVIDENCE: coded book + enrichment photos [E: humanities].</t>
  </si>
  <si>
    <t xml:space="preserve">Record who moves beyond 'it shows…' to 'it is useful because…'; note pupils confusing what a source shows with how useful it is.  → Influence: assessment technique shapes the next enquiry's scaffold [NS].</t>
  </si>
  <si>
    <t xml:space="preserve">Arts (Arts Award)</t>
  </si>
  <si>
    <t xml:space="preserve">Trinity Arts Award Silver/Gold, Unit 1 Part B — research an artist/practitioner; arts log.</t>
  </si>
  <si>
    <t xml:space="preserve">I can research one artist whose work links to identity and record three facts and one opinion in my arts log.</t>
  </si>
  <si>
    <t xml:space="preserve">Arrival task: 'which artwork speaks to you?' — pick 1 of 3 projected works, move to a corner → model noting 3 facts + 1 opinion about an artist → we do: research one artist together and fill the log frame → you do: choose an artist from a themed menu (identity/belonging; includes a light/installation artist) and complete the arts-log page → exit: share one fact with a partner or the TA.</t>
  </si>
  <si>
    <t xml:space="preserve">artist, practitioner, research, influence, identity, medium, technique, arts log, opinion, evidence</t>
  </si>
  <si>
    <t xml:space="preserve">Themed artist menu of 5-6 short profiles (incl. a Black British artist for BHM and a light/neon installation artist tied to Pupil A's Hartlepool lighting goal); arts-log frame (3 facts + 1 opinion); magenta copies; images pre-saved; device for a digital log.</t>
  </si>
  <si>
    <t xml:space="preserve">Choice of artist from a curated menu (autonomy + no open searching). Pupil A offered the lighting/installation artist to link to her PfA goal — high engagement, discreet questioning. Pupil B works solo with the log frame + checklist. Verbal or written opinion accepted; sentence stems.
Pupil C: never on the spot or publicly corrected; calm, quiet encouragement; clear success criteria and model examples; challenge on, pressure off when confidence dips.</t>
  </si>
  <si>
    <t xml:space="preserve">TA supports separating facts from opinion; teacher models one entry live. Log entry banks Arts Award Unit 1 Part B evidence — photograph/screenshot for the portfolio.
LOOP [Feedback Policy]: Voice = make + written/recorded arts review + reflection [VF, //] → Audience: engage with the review against the Award criteria, one [NS]; listen fully before tagging; then [R] → EVIDENCE: Arts Award Silver portfolio = the accreditation evidence [E: Arts Award] — live/deferred.</t>
  </si>
  <si>
    <t xml:space="preserve">Note who separates fact from opinion; check each pupil has dated, portfolio-ready evidence.  → Influence: the portfolio builds toward Silver → accreditation next step at moderation [NS].</t>
  </si>
  <si>
    <t xml:space="preserve">PfA/ASDAN</t>
  </si>
  <si>
    <t xml:space="preserve">Communication skills: active listening and feedback. ComSk1/ComSk2 Communication skills: active listening, feedback and using peer feedback to improve future communication.</t>
  </si>
  <si>
    <t xml:space="preserve">I can show active listening and use feedback to improve a communication response.</t>
  </si>
  <si>
    <t xml:space="preserve">Model weak/strong listening → active-listening checklist → paired or small-group structured listening task → give and receive feedback using prompts → improve one response based on feedback.</t>
  </si>
  <si>
    <t xml:space="preserve">active listening, feedback, clarify, respond, body language, question, improve, peer feedback</t>
  </si>
  <si>
    <t xml:space="preserve">Listening checklist; feedback sentence stems; short discussion prompts; audio/video recording option; peer feedback form.</t>
  </si>
  <si>
    <t xml:space="preserve">Can complete 1:1 with adult if group work is dysregulating; visuals for listening behaviours; option to record instead of write; structured roles and time limit.</t>
  </si>
  <si>
    <t xml:space="preserve">TA to prompt active listening and capture verbal evidence. Teacher to collect feedback evidence and note whether feedback was used to inform improvement.</t>
  </si>
  <si>
    <t xml:space="preserve">To complete after teaching: note listening behaviours observed, quality of feedback, how student responded to feedback and evidence to save.</t>
  </si>
  <si>
    <t xml:space="preserve">PE</t>
  </si>
  <si>
    <t xml:space="preserve">Independent Living Skills</t>
  </si>
  <si>
    <t xml:space="preserve">
Looking after myself &amp; my home</t>
  </si>
  <si>
    <t xml:space="preserve">I can describe the steps involved in doing laundry and identify basic household maintenance tasks.</t>
  </si>
  <si>
    <t xml:space="preserve">Discuss why clothes need washing.
Sequence the steps of doing laundry.
Identify household jobs from photographs.
Create a simple checklist of household tasks.</t>
  </si>
  <si>
    <t xml:space="preserve">Laundry
Detergent
Washing machine
Maintenance
Chores
Clean</t>
  </si>
  <si>
    <t xml:space="preserve">Laundry sequencing cards
Images of household tasks
Weekly task checklist template</t>
  </si>
  <si>
    <t xml:space="preserve">Use visual sequencing strips.
Pair work for discussion.
Provide physical examples of laundry products where appropriate.
Extension: Discuss washing temperatures and fabric care symbols.</t>
  </si>
  <si>
    <t xml:space="preserve">Model each stage of the laundry process.
Use visual prompts and sequencing strips.
Reinforce vocabulary through repetition.
Offer guided support during checklist creation.
Encourage collaborative learning through paired tasks.</t>
  </si>
  <si>
    <t xml:space="preserve">Enrichment &amp; wider opportunities this week   (trips, visitors, themed days, SMSC calendar link, PfA / community)</t>
  </si>
  <si>
    <t xml:space="preserve">Resources &amp; support to prepare before the week   (printing, kit, bookings, briefing the team)</t>
  </si>
  <si>
    <t xml:space="preserve">F = formative  ·  S = summative  ·  PfA = Preparing for Adulthood  </t>
  </si>
  <si>
    <t xml:space="preserve">Student Adaptations</t>
  </si>
  <si>
    <t xml:space="preserve">Name</t>
  </si>
  <si>
    <t xml:space="preserve">Year / KS</t>
  </si>
  <si>
    <t xml:space="preserve">Reading age band</t>
  </si>
  <si>
    <t xml:space="preserve">Communication / sensory needs</t>
  </si>
  <si>
    <t xml:space="preserve">Key scaffolds &amp; adaptations</t>
  </si>
  <si>
    <t xml:space="preserve">EHCP primary outcomes</t>
  </si>
  <si>
    <t xml:space="preserve">PfA focus</t>
  </si>
  <si>
    <t xml:space="preserve">Notes</t>
  </si>
  <si>
    <t xml:space="preserve">Pupil A</t>
  </si>
  <si>
    <t xml:space="preserve">KS4</t>
  </si>
  <si>
    <t xml:space="preserve">Pupil B</t>
  </si>
  <si>
    <t xml:space="preserve">Pupil C</t>
  </si>
  <si>
    <t xml:space="preserve">Outcome Tracker </t>
  </si>
  <si>
    <t xml:space="preserve">Did everyone make progress and meet the outcome? </t>
  </si>
  <si>
    <t xml:space="preserve">GREEN</t>
  </si>
  <si>
    <t xml:space="preserve">All demonstrated progress &amp; achieved the outcome</t>
  </si>
  <si>
    <t xml:space="preserve">AMBER</t>
  </si>
  <si>
    <t xml:space="preserve">Partly met, revisit in class</t>
  </si>
  <si>
    <t xml:space="preserve">RED</t>
  </si>
  <si>
    <t xml:space="preserve">Not met, pick up through intervention</t>
  </si>
  <si>
    <t xml:space="preserve">Week (w/c)</t>
  </si>
  <si>
    <t xml:space="preserve">Outcome reviewed</t>
  </si>
  <si>
    <t xml:space="preserve">Marking / evidence</t>
  </si>
  <si>
    <t xml:space="preserve">RAG</t>
  </si>
  <si>
    <t xml:space="preserve">Students not yet secure</t>
  </si>
  <si>
    <t xml:space="preserve">Picked up via</t>
  </si>
  <si>
    <t xml:space="preserve">Action &amp; timescale</t>
  </si>
  <si>
    <t xml:space="preserve">Students identified language methods/strong words and wrote at least one short Q2-style explanation.</t>
  </si>
  <si>
    <t xml:space="preserve">I can set up and use a light microscope to observe cells, and record what I see with a labelled biological drawing.</t>
  </si>
  <si>
    <t xml:space="preserve">Personal Development / PfA</t>
  </si>
  <si>
    <t xml:space="preserve">This sheet:</t>
  </si>
  <si>
    <t xml:space="preserve">Green</t>
  </si>
  <si>
    <t xml:space="preserve">Amber</t>
  </si>
  <si>
    <t xml:space="preserve">Red</t>
  </si>
</sst>
</file>

<file path=xl/styles.xml><?xml version="1.0" encoding="utf-8"?>
<styleSheet xmlns="http://schemas.openxmlformats.org/spreadsheetml/2006/main">
  <numFmts count="4">
    <numFmt numFmtId="164" formatCode="General"/>
    <numFmt numFmtId="165" formatCode="d\-mmm\-yy"/>
    <numFmt numFmtId="166" formatCode="@"/>
    <numFmt numFmtId="167" formatCode="General"/>
  </numFmts>
  <fonts count="26">
    <font>
      <sz val="11"/>
      <color theme="1"/>
      <name val="Calibri"/>
      <family val="2"/>
      <charset val="1"/>
    </font>
    <font>
      <sz val="10"/>
      <name val="Arial"/>
      <family val="0"/>
    </font>
    <font>
      <sz val="10"/>
      <name val="Arial"/>
      <family val="0"/>
    </font>
    <font>
      <sz val="10"/>
      <name val="Arial"/>
      <family val="0"/>
    </font>
    <font>
      <b val="true"/>
      <sz val="18"/>
      <color rgb="FFFFFFFF"/>
      <name val="Arial"/>
      <family val="2"/>
      <charset val="1"/>
    </font>
    <font>
      <sz val="10"/>
      <color rgb="FF566159"/>
      <name val="Arial"/>
      <family val="2"/>
      <charset val="1"/>
    </font>
    <font>
      <b val="true"/>
      <sz val="9"/>
      <color rgb="FF566159"/>
      <name val="Arial"/>
      <family val="2"/>
      <charset val="1"/>
    </font>
    <font>
      <b val="true"/>
      <sz val="10"/>
      <color rgb="FF1B2420"/>
      <name val="Arial"/>
      <family val="2"/>
      <charset val="1"/>
    </font>
    <font>
      <b val="true"/>
      <sz val="10"/>
      <color rgb="FF2E7D4F"/>
      <name val="Arial"/>
      <family val="2"/>
      <charset val="1"/>
    </font>
    <font>
      <sz val="9"/>
      <color rgb="FF2E2A5D"/>
      <name val="Arial"/>
      <family val="0"/>
      <charset val="1"/>
    </font>
    <font>
      <b val="true"/>
      <sz val="9"/>
      <color rgb="FFFFFFFF"/>
      <name val="Arial"/>
      <family val="2"/>
      <charset val="1"/>
    </font>
    <font>
      <b val="true"/>
      <sz val="9"/>
      <color rgb="FF1B2420"/>
      <name val="Arial"/>
      <family val="2"/>
      <charset val="1"/>
    </font>
    <font>
      <sz val="9"/>
      <color rgb="FF000000"/>
      <name val="Calibri"/>
      <family val="2"/>
      <charset val="1"/>
    </font>
    <font>
      <sz val="10"/>
      <color rgb="FF000000"/>
      <name val="Calibri"/>
      <family val="2"/>
      <charset val="1"/>
    </font>
    <font>
      <sz val="9"/>
      <color rgb="FF1B2420"/>
      <name val="Arial"/>
      <family val="2"/>
      <charset val="1"/>
    </font>
    <font>
      <sz val="9"/>
      <color theme="1"/>
      <name val="Arial"/>
      <family val="2"/>
      <charset val="1"/>
    </font>
    <font>
      <sz val="9"/>
      <color rgb="FF000000"/>
      <name val="Arial"/>
      <family val="2"/>
      <charset val="1"/>
    </font>
    <font>
      <sz val="8"/>
      <color rgb="FF566159"/>
      <name val="Arial"/>
      <family val="2"/>
      <charset val="1"/>
    </font>
    <font>
      <i val="true"/>
      <sz val="8"/>
      <color rgb="FF566159"/>
      <name val="Arial"/>
      <family val="2"/>
      <charset val="1"/>
    </font>
    <font>
      <b val="true"/>
      <sz val="16"/>
      <color rgb="FFFFFFFF"/>
      <name val="Arial"/>
      <family val="2"/>
      <charset val="1"/>
    </font>
    <font>
      <sz val="9"/>
      <color rgb="FF1F2A44"/>
      <name val="Open Sans"/>
      <family val="0"/>
      <charset val="1"/>
    </font>
    <font>
      <sz val="9"/>
      <color theme="1"/>
      <name val="Arial"/>
      <family val="0"/>
      <charset val="1"/>
    </font>
    <font>
      <sz val="10"/>
      <name val="Arial"/>
      <family val="2"/>
      <charset val="1"/>
    </font>
    <font>
      <sz val="9"/>
      <name val="Arial"/>
      <family val="2"/>
      <charset val="1"/>
    </font>
    <font>
      <b val="true"/>
      <sz val="9"/>
      <color theme="1"/>
      <name val="Arial"/>
      <family val="2"/>
      <charset val="1"/>
    </font>
    <font>
      <b val="true"/>
      <sz val="10"/>
      <color rgb="FFFFFFFF"/>
      <name val="Arial"/>
      <family val="2"/>
      <charset val="1"/>
    </font>
  </fonts>
  <fills count="10">
    <fill>
      <patternFill patternType="none"/>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8">
    <border diagonalUp="false" diagonalDown="false">
      <left/>
      <right/>
      <top/>
      <bottom/>
      <diagonal/>
    </border>
    <border diagonalUp="false" diagonalDown="false">
      <left/>
      <right/>
      <top/>
      <bottom style="thin">
        <color rgb="FFC3CDC1"/>
      </bottom>
      <diagonal/>
    </border>
    <border diagonalUp="false" diagonalDown="false">
      <left style="thin">
        <color rgb="FFC9C9D6"/>
      </left>
      <right style="thin">
        <color rgb="FFC9C9D6"/>
      </right>
      <top style="thin">
        <color rgb="FFC9C9D6"/>
      </top>
      <bottom style="thin">
        <color rgb="FFC9C9D6"/>
      </bottom>
      <diagonal/>
    </border>
    <border diagonalUp="false" diagonalDown="false">
      <left style="thin">
        <color rgb="FFC3CDC1"/>
      </left>
      <right style="thin">
        <color rgb="FFC3CDC1"/>
      </right>
      <top style="thin">
        <color rgb="FFC3CDC1"/>
      </top>
      <bottom style="thin">
        <color rgb="FFC3CDC1"/>
      </bottom>
      <diagonal/>
    </border>
    <border diagonalUp="false" diagonalDown="false">
      <left style="thin">
        <color rgb="FFC3CDC1"/>
      </left>
      <right style="thin">
        <color rgb="FFC3CDC1"/>
      </right>
      <top style="thin">
        <color rgb="FFC3CDC1"/>
      </top>
      <bottom/>
      <diagonal/>
    </border>
    <border diagonalUp="false" diagonalDown="false">
      <left style="thin">
        <color rgb="FFC3CDC1"/>
      </left>
      <right/>
      <top style="thin">
        <color rgb="FFC3CDC1"/>
      </top>
      <bottom style="thin">
        <color rgb="FFC3CDC1"/>
      </bottom>
      <diagonal/>
    </border>
    <border diagonalUp="false" diagonalDown="false">
      <left style="thin"/>
      <right style="thin"/>
      <top style="thin"/>
      <bottom style="thin"/>
      <diagonal/>
    </border>
    <border diagonalUp="false" diagonalDown="false">
      <left style="thin">
        <color rgb="FFC3CDC1"/>
      </left>
      <right style="thin">
        <color rgb="FFC3CDC1"/>
      </right>
      <top/>
      <bottom style="thin">
        <color rgb="FFC3CD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10" fillId="2" borderId="4" xfId="0" applyFont="true" applyBorder="true" applyAlignment="true" applyProtection="false">
      <alignment horizontal="center" vertical="center" textRotation="0" wrapText="true" indent="0" shrinkToFit="false"/>
      <protection locked="true" hidden="false"/>
    </xf>
    <xf numFmtId="164" fontId="11" fillId="5" borderId="5"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4" fillId="5" borderId="6" xfId="0" applyFont="true" applyBorder="true" applyAlignment="true" applyProtection="false">
      <alignment horizontal="left" vertical="center" textRotation="0" wrapText="true" indent="0" shrinkToFit="false"/>
      <protection locked="true" hidden="false"/>
    </xf>
    <xf numFmtId="164" fontId="11" fillId="6" borderId="3" xfId="0" applyFont="true" applyBorder="true" applyAlignment="true" applyProtection="false">
      <alignment horizontal="left" vertical="center" textRotation="0" wrapText="true" indent="0" shrinkToFit="false"/>
      <protection locked="true" hidden="false"/>
    </xf>
    <xf numFmtId="164" fontId="14" fillId="6" borderId="3" xfId="0" applyFont="true" applyBorder="true" applyAlignment="true" applyProtection="false">
      <alignment horizontal="left" vertical="center" textRotation="0" wrapText="true" indent="0" shrinkToFit="false"/>
      <protection locked="true" hidden="false"/>
    </xf>
    <xf numFmtId="164" fontId="15" fillId="6" borderId="3" xfId="0" applyFont="true" applyBorder="true" applyAlignment="true" applyProtection="false">
      <alignment horizontal="left" vertical="center" textRotation="0" wrapText="true" indent="0" shrinkToFit="false"/>
      <protection locked="true" hidden="false"/>
    </xf>
    <xf numFmtId="164" fontId="14" fillId="6" borderId="7" xfId="0" applyFont="true" applyBorder="true" applyAlignment="true" applyProtection="false">
      <alignment horizontal="left" vertical="center" textRotation="0" wrapText="true" indent="0" shrinkToFit="false"/>
      <protection locked="true" hidden="false"/>
    </xf>
    <xf numFmtId="164" fontId="11" fillId="5" borderId="3" xfId="0" applyFont="true" applyBorder="true" applyAlignment="true" applyProtection="false">
      <alignment horizontal="left" vertical="center" textRotation="0" wrapText="true" indent="0" shrinkToFit="false"/>
      <protection locked="true" hidden="false"/>
    </xf>
    <xf numFmtId="164" fontId="14" fillId="5" borderId="3" xfId="0" applyFont="true" applyBorder="true" applyAlignment="true" applyProtection="false">
      <alignment horizontal="left" vertical="center" textRotation="0" wrapText="true" indent="0" shrinkToFit="false"/>
      <protection locked="true" hidden="false"/>
    </xf>
    <xf numFmtId="164" fontId="7" fillId="5" borderId="3" xfId="0" applyFont="true" applyBorder="true" applyAlignment="true" applyProtection="false">
      <alignment horizontal="center" vertical="center" textRotation="0" wrapText="true" indent="0" shrinkToFit="false"/>
      <protection locked="true" hidden="false"/>
    </xf>
    <xf numFmtId="164" fontId="16" fillId="5" borderId="6" xfId="0" applyFont="true" applyBorder="true" applyAlignment="true" applyProtection="false">
      <alignment horizontal="general" vertical="center"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8" fillId="6" borderId="3" xfId="0" applyFont="true" applyBorder="true" applyAlignment="true" applyProtection="false">
      <alignment horizontal="general" vertical="top" textRotation="0" wrapText="true" indent="0" shrinkToFit="false"/>
      <protection locked="true" hidden="false"/>
    </xf>
    <xf numFmtId="164" fontId="17" fillId="6" borderId="3"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left" vertical="center" textRotation="0" wrapText="false" indent="0" shrinkToFit="false"/>
      <protection locked="true" hidden="false"/>
    </xf>
    <xf numFmtId="164" fontId="19" fillId="2" borderId="0" xfId="0" applyFont="true" applyBorder="true" applyAlignment="true" applyProtection="false">
      <alignment horizontal="left" vertical="center" textRotation="0" wrapText="false" indent="0" shrinkToFit="false"/>
      <protection locked="true" hidden="false"/>
    </xf>
    <xf numFmtId="166" fontId="14" fillId="5" borderId="3" xfId="0" applyFont="true" applyBorder="true" applyAlignment="true" applyProtection="false">
      <alignment horizontal="left" vertical="center"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6" fontId="14" fillId="5" borderId="5" xfId="0" applyFont="true" applyBorder="true" applyAlignment="true" applyProtection="false">
      <alignment horizontal="left" vertical="center" textRotation="0" wrapText="true" indent="0" shrinkToFit="false"/>
      <protection locked="true" hidden="false"/>
    </xf>
    <xf numFmtId="164" fontId="21" fillId="0" borderId="6" xfId="0" applyFont="true" applyBorder="true" applyAlignment="true" applyProtection="false">
      <alignment horizontal="general" vertical="center" textRotation="0" wrapText="true" indent="0" shrinkToFit="false"/>
      <protection locked="true" hidden="false"/>
    </xf>
    <xf numFmtId="164" fontId="0" fillId="6" borderId="3" xfId="0" applyFont="false" applyBorder="true" applyAlignment="true" applyProtection="false">
      <alignment horizontal="left" vertical="center" textRotation="0" wrapText="true" indent="0" shrinkToFit="false"/>
      <protection locked="true" hidden="false"/>
    </xf>
    <xf numFmtId="164" fontId="0" fillId="5" borderId="3" xfId="0" applyFont="false" applyBorder="true" applyAlignment="true" applyProtection="false">
      <alignment horizontal="left" vertical="center" textRotation="0" wrapText="true" indent="0" shrinkToFit="false"/>
      <protection locked="true" hidden="false"/>
    </xf>
    <xf numFmtId="164" fontId="22" fillId="0" borderId="0" xfId="0" applyFont="true" applyBorder="true" applyAlignment="true" applyProtection="false">
      <alignment horizontal="left"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true" applyAlignment="true" applyProtection="false">
      <alignment horizontal="left"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10" fillId="9" borderId="0" xfId="0" applyFont="true" applyBorder="false" applyAlignment="true" applyProtection="false">
      <alignment horizontal="center" vertical="center" textRotation="0" wrapText="false" indent="0" shrinkToFit="false"/>
      <protection locked="true" hidden="false"/>
    </xf>
    <xf numFmtId="165" fontId="11" fillId="5" borderId="3" xfId="0" applyFont="true" applyBorder="true" applyAlignment="true" applyProtection="false">
      <alignment horizontal="left" vertical="center" textRotation="0" wrapText="true" indent="0" shrinkToFit="false"/>
      <protection locked="true" hidden="false"/>
    </xf>
    <xf numFmtId="164" fontId="15" fillId="0" borderId="3" xfId="0" applyFont="true" applyBorder="true" applyAlignment="true" applyProtection="false">
      <alignment horizontal="center" vertical="center" textRotation="0" wrapText="true" indent="0" shrinkToFit="false"/>
      <protection locked="true" hidden="false"/>
    </xf>
    <xf numFmtId="164" fontId="24" fillId="0" borderId="3" xfId="0" applyFont="true" applyBorder="true" applyAlignment="true" applyProtection="false">
      <alignment horizontal="center" vertical="center" textRotation="0" wrapText="true" indent="0" shrinkToFit="false"/>
      <protection locked="true" hidden="false"/>
    </xf>
    <xf numFmtId="164" fontId="0" fillId="6" borderId="3" xfId="0" applyFont="true" applyBorder="true" applyAlignment="true" applyProtection="false">
      <alignment horizontal="left" vertical="center" textRotation="0" wrapText="true" indent="0" shrinkToFit="false"/>
      <protection locked="true" hidden="false"/>
    </xf>
    <xf numFmtId="164" fontId="0" fillId="5" borderId="3"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25" fillId="7" borderId="0" xfId="0" applyFont="true" applyBorder="false" applyAlignment="true" applyProtection="false">
      <alignment horizontal="center" vertical="center" textRotation="0" wrapText="false" indent="0" shrinkToFit="false"/>
      <protection locked="true" hidden="false"/>
    </xf>
    <xf numFmtId="167" fontId="25" fillId="8" borderId="0" xfId="0" applyFont="true" applyBorder="false" applyAlignment="true" applyProtection="false">
      <alignment horizontal="center" vertical="center" textRotation="0" wrapText="false" indent="0" shrinkToFit="false"/>
      <protection locked="true" hidden="false"/>
    </xf>
    <xf numFmtId="167" fontId="25" fillId="9"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003300"/>
      <rgbColor rgb="FF1B2420"/>
      <rgbColor rgb="FFC0392B"/>
      <rgbColor rgb="FF993366"/>
      <rgbColor rgb="FF2E2A5D"/>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9" topLeftCell="A17" activePane="bottomLeft" state="frozen"/>
      <selection pane="topLeft" activeCell="A1" activeCellId="0" sqref="A1"/>
      <selection pane="bottomLeft" activeCell="J17" activeCellId="0" sqref="J17"/>
    </sheetView>
  </sheetViews>
  <sheetFormatPr defaultColWidth="8.5703125" defaultRowHeight="14.2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4" min="3" style="1" width="26"/>
    <col collapsed="false" customWidth="true" hidden="false" outlineLevel="0" max="5" min="5" style="1" width="16"/>
    <col collapsed="false" customWidth="true" hidden="false" outlineLevel="0" max="6" min="6" style="1" width="20"/>
    <col collapsed="false" customWidth="true" hidden="false" outlineLevel="0" max="7" min="7" style="1" width="10"/>
    <col collapsed="false" customWidth="true" hidden="false" outlineLevel="0" max="8" min="8" style="1" width="26"/>
    <col collapsed="false" customWidth="true" hidden="false" outlineLevel="0" max="10" min="9" style="1" width="22"/>
  </cols>
  <sheetData>
    <row r="1" customFormat="false" ht="30" hidden="false" customHeight="true" outlineLevel="0" collapsed="false">
      <c r="A1" s="2" t="s">
        <v>0</v>
      </c>
      <c r="B1" s="2"/>
      <c r="C1" s="2"/>
      <c r="D1" s="2"/>
      <c r="E1" s="2"/>
      <c r="F1" s="2"/>
      <c r="G1" s="2"/>
      <c r="H1" s="2"/>
      <c r="I1" s="2"/>
      <c r="J1" s="2"/>
    </row>
    <row r="2" customFormat="false" ht="14.25" hidden="false" customHeight="true" outlineLevel="0" collapsed="false">
      <c r="A2" s="3" t="s">
        <v>1</v>
      </c>
      <c r="B2" s="3"/>
      <c r="C2" s="3"/>
      <c r="D2" s="3"/>
      <c r="E2" s="3"/>
      <c r="F2" s="3"/>
      <c r="G2" s="3"/>
      <c r="H2" s="3"/>
      <c r="I2" s="3"/>
      <c r="J2" s="3"/>
    </row>
    <row r="4" customFormat="false" ht="19.5" hidden="false" customHeight="true" outlineLevel="0" collapsed="false">
      <c r="A4" s="4" t="s">
        <v>2</v>
      </c>
      <c r="B4" s="5" t="s">
        <v>3</v>
      </c>
      <c r="D4" s="1" t="n">
        <v>3</v>
      </c>
      <c r="F4" s="4" t="s">
        <v>4</v>
      </c>
      <c r="G4" s="5" t="n">
        <v>3</v>
      </c>
    </row>
    <row r="5" customFormat="false" ht="19.5" hidden="false" customHeight="true" outlineLevel="0" collapsed="false">
      <c r="A5" s="4" t="s">
        <v>5</v>
      </c>
      <c r="B5" s="5" t="s">
        <v>6</v>
      </c>
      <c r="F5" s="4" t="s">
        <v>7</v>
      </c>
      <c r="G5" s="5"/>
    </row>
    <row r="6" customFormat="false" ht="19.5" hidden="false" customHeight="true" outlineLevel="0" collapsed="false">
      <c r="A6" s="4" t="s">
        <v>8</v>
      </c>
      <c r="B6" s="6" t="str">
        <f aca="false">IF(B5="Autumn","Identity &amp; Belonging",IF(B5="Spring","Resilience &amp; Change",IF(B5="Summer","Our World, My Future","pick a term")))</f>
        <v>Identity &amp; Belonging</v>
      </c>
      <c r="C6" s="6"/>
      <c r="D6" s="6"/>
      <c r="F6" s="4" t="s">
        <v>9</v>
      </c>
      <c r="G6" s="5"/>
    </row>
    <row r="7" customFormat="false" ht="19.5" hidden="false" customHeight="true" outlineLevel="0" collapsed="false">
      <c r="A7" s="4" t="s">
        <v>10</v>
      </c>
      <c r="B7" s="7" t="n">
        <v>46279</v>
      </c>
      <c r="F7" s="4" t="s">
        <v>11</v>
      </c>
      <c r="G7" s="5"/>
    </row>
    <row r="8" customFormat="false" ht="33.75" hidden="false" customHeight="true" outlineLevel="0" collapsed="false">
      <c r="A8" s="8" t="s">
        <v>12</v>
      </c>
      <c r="B8" s="8"/>
      <c r="C8" s="8"/>
      <c r="D8" s="8"/>
      <c r="E8" s="8"/>
      <c r="F8" s="8"/>
      <c r="G8" s="8"/>
      <c r="H8" s="8"/>
      <c r="I8" s="8"/>
      <c r="J8" s="8"/>
    </row>
    <row r="9" customFormat="false" ht="30" hidden="false" customHeight="true" outlineLevel="0" collapsed="false">
      <c r="A9" s="9" t="s">
        <v>13</v>
      </c>
      <c r="B9" s="10" t="s">
        <v>14</v>
      </c>
      <c r="C9" s="10" t="s">
        <v>15</v>
      </c>
      <c r="D9" s="10" t="s">
        <v>16</v>
      </c>
      <c r="E9" s="10" t="s">
        <v>17</v>
      </c>
      <c r="F9" s="10" t="s">
        <v>18</v>
      </c>
      <c r="G9" s="10" t="s">
        <v>19</v>
      </c>
      <c r="H9" s="10" t="s">
        <v>20</v>
      </c>
      <c r="I9" s="10" t="s">
        <v>21</v>
      </c>
      <c r="J9" s="10" t="s">
        <v>22</v>
      </c>
    </row>
    <row r="10" customFormat="false" ht="330" hidden="false" customHeight="true" outlineLevel="0" collapsed="false">
      <c r="A10" s="11" t="s">
        <v>23</v>
      </c>
      <c r="B10" s="12" t="s">
        <v>24</v>
      </c>
      <c r="C10" s="13" t="s">
        <v>25</v>
      </c>
      <c r="D10" s="13" t="s">
        <v>26</v>
      </c>
      <c r="E10" s="13" t="s">
        <v>27</v>
      </c>
      <c r="F10" s="13" t="s">
        <v>28</v>
      </c>
      <c r="G10" s="14" t="s">
        <v>29</v>
      </c>
      <c r="H10" s="13" t="s">
        <v>30</v>
      </c>
      <c r="I10" s="13" t="s">
        <v>31</v>
      </c>
      <c r="J10" s="13" t="s">
        <v>32</v>
      </c>
    </row>
    <row r="11" customFormat="false" ht="330" hidden="false" customHeight="true" outlineLevel="0" collapsed="false">
      <c r="A11" s="15" t="s">
        <v>33</v>
      </c>
      <c r="B11" s="16" t="s">
        <v>34</v>
      </c>
      <c r="C11" s="17" t="s">
        <v>35</v>
      </c>
      <c r="D11" s="16" t="s">
        <v>36</v>
      </c>
      <c r="E11" s="16" t="s">
        <v>37</v>
      </c>
      <c r="F11" s="16" t="s">
        <v>38</v>
      </c>
      <c r="G11" s="16" t="s">
        <v>29</v>
      </c>
      <c r="H11" s="16" t="s">
        <v>39</v>
      </c>
      <c r="I11" s="16" t="s">
        <v>40</v>
      </c>
      <c r="J11" s="18" t="s">
        <v>41</v>
      </c>
    </row>
    <row r="12" customFormat="false" ht="339.75" hidden="false" customHeight="true" outlineLevel="0" collapsed="false">
      <c r="A12" s="19" t="s">
        <v>42</v>
      </c>
      <c r="B12" s="20" t="s">
        <v>43</v>
      </c>
      <c r="C12" s="20" t="s">
        <v>44</v>
      </c>
      <c r="D12" s="20" t="s">
        <v>45</v>
      </c>
      <c r="E12" s="20" t="s">
        <v>46</v>
      </c>
      <c r="F12" s="20" t="s">
        <v>47</v>
      </c>
      <c r="G12" s="20" t="s">
        <v>29</v>
      </c>
      <c r="H12" s="20" t="s">
        <v>48</v>
      </c>
      <c r="I12" s="20" t="s">
        <v>49</v>
      </c>
      <c r="J12" s="20" t="s">
        <v>50</v>
      </c>
    </row>
    <row r="13" customFormat="false" ht="330" hidden="false" customHeight="true" outlineLevel="0" collapsed="false">
      <c r="A13" s="15" t="s">
        <v>51</v>
      </c>
      <c r="B13" s="16" t="s">
        <v>52</v>
      </c>
      <c r="C13" s="16" t="s">
        <v>53</v>
      </c>
      <c r="D13" s="16" t="s">
        <v>54</v>
      </c>
      <c r="E13" s="16" t="s">
        <v>55</v>
      </c>
      <c r="F13" s="16" t="s">
        <v>56</v>
      </c>
      <c r="G13" s="16" t="s">
        <v>29</v>
      </c>
      <c r="H13" s="16" t="s">
        <v>57</v>
      </c>
      <c r="I13" s="16" t="s">
        <v>58</v>
      </c>
      <c r="J13" s="16" t="s">
        <v>59</v>
      </c>
    </row>
    <row r="14" customFormat="false" ht="330" hidden="false" customHeight="true" outlineLevel="0" collapsed="false">
      <c r="A14" s="19" t="s">
        <v>60</v>
      </c>
      <c r="B14" s="20" t="s">
        <v>61</v>
      </c>
      <c r="C14" s="20" t="s">
        <v>62</v>
      </c>
      <c r="D14" s="20" t="s">
        <v>63</v>
      </c>
      <c r="E14" s="20" t="s">
        <v>64</v>
      </c>
      <c r="F14" s="20" t="s">
        <v>65</v>
      </c>
      <c r="G14" s="20" t="s">
        <v>29</v>
      </c>
      <c r="H14" s="20" t="s">
        <v>66</v>
      </c>
      <c r="I14" s="20" t="s">
        <v>67</v>
      </c>
      <c r="J14" s="20" t="s">
        <v>68</v>
      </c>
    </row>
    <row r="15" customFormat="false" ht="360" hidden="false" customHeight="true" outlineLevel="0" collapsed="false">
      <c r="A15" s="15" t="s">
        <v>69</v>
      </c>
      <c r="B15" s="20" t="s">
        <v>70</v>
      </c>
      <c r="C15" s="20" t="s">
        <v>71</v>
      </c>
      <c r="D15" s="20" t="s">
        <v>72</v>
      </c>
      <c r="E15" s="20" t="s">
        <v>73</v>
      </c>
      <c r="F15" s="20" t="s">
        <v>74</v>
      </c>
      <c r="G15" s="20" t="s">
        <v>29</v>
      </c>
      <c r="H15" s="20" t="s">
        <v>75</v>
      </c>
      <c r="I15" s="20" t="s">
        <v>76</v>
      </c>
      <c r="J15" s="20" t="s">
        <v>77</v>
      </c>
    </row>
    <row r="16" customFormat="false" ht="398.25" hidden="false" customHeight="true" outlineLevel="0" collapsed="false">
      <c r="A16" s="21" t="s">
        <v>78</v>
      </c>
      <c r="B16" s="20" t="s">
        <v>79</v>
      </c>
      <c r="C16" s="20" t="s">
        <v>80</v>
      </c>
      <c r="D16" s="20" t="s">
        <v>81</v>
      </c>
      <c r="E16" s="20" t="s">
        <v>82</v>
      </c>
      <c r="F16" s="20" t="s">
        <v>83</v>
      </c>
      <c r="G16" s="20" t="s">
        <v>29</v>
      </c>
      <c r="H16" s="20" t="s">
        <v>84</v>
      </c>
      <c r="I16" s="20" t="s">
        <v>85</v>
      </c>
      <c r="J16" s="20" t="s">
        <v>86</v>
      </c>
    </row>
    <row r="17" customFormat="false" ht="132" hidden="false" customHeight="true" outlineLevel="0" collapsed="false">
      <c r="A17" s="21" t="s">
        <v>87</v>
      </c>
      <c r="B17" s="20" t="s">
        <v>88</v>
      </c>
      <c r="C17" s="22" t="s">
        <v>89</v>
      </c>
      <c r="D17" s="22" t="s">
        <v>90</v>
      </c>
      <c r="E17" s="22" t="s">
        <v>91</v>
      </c>
      <c r="F17" s="22" t="s">
        <v>92</v>
      </c>
      <c r="G17" s="20" t="s">
        <v>29</v>
      </c>
      <c r="H17" s="22" t="s">
        <v>93</v>
      </c>
      <c r="I17" s="22" t="s">
        <v>94</v>
      </c>
      <c r="J17" s="22" t="s">
        <v>95</v>
      </c>
    </row>
    <row r="18" customFormat="false" ht="45.75" hidden="false" customHeight="true" outlineLevel="0" collapsed="false">
      <c r="A18" s="15" t="s">
        <v>96</v>
      </c>
      <c r="B18" s="16"/>
      <c r="C18" s="16"/>
      <c r="D18" s="16"/>
      <c r="E18" s="16"/>
      <c r="F18" s="16"/>
      <c r="G18" s="16"/>
      <c r="H18" s="16"/>
      <c r="I18" s="16"/>
      <c r="J18" s="16"/>
    </row>
    <row r="19" customFormat="false" ht="45.75" hidden="false" customHeight="true" outlineLevel="0" collapsed="false">
      <c r="A19" s="19" t="s">
        <v>97</v>
      </c>
      <c r="B19" s="20" t="s">
        <v>98</v>
      </c>
      <c r="C19" s="20" t="s">
        <v>99</v>
      </c>
      <c r="D19" s="20" t="s">
        <v>100</v>
      </c>
      <c r="E19" s="20" t="s">
        <v>101</v>
      </c>
      <c r="F19" s="20" t="s">
        <v>102</v>
      </c>
      <c r="G19" s="20"/>
      <c r="H19" s="20" t="s">
        <v>103</v>
      </c>
      <c r="I19" s="20" t="s">
        <v>104</v>
      </c>
      <c r="J19" s="20"/>
    </row>
    <row r="21" customFormat="false" ht="18" hidden="false" customHeight="true" outlineLevel="0" collapsed="false">
      <c r="A21" s="23" t="s">
        <v>105</v>
      </c>
      <c r="B21" s="23"/>
      <c r="C21" s="23"/>
      <c r="D21" s="23"/>
      <c r="E21" s="23"/>
      <c r="F21" s="23"/>
      <c r="G21" s="23"/>
      <c r="H21" s="23"/>
      <c r="I21" s="23"/>
      <c r="J21" s="23"/>
    </row>
    <row r="22" customFormat="false" ht="117.75" hidden="false" customHeight="true" outlineLevel="0" collapsed="false">
      <c r="A22" s="24"/>
      <c r="B22" s="24"/>
      <c r="C22" s="24"/>
      <c r="D22" s="24"/>
      <c r="E22" s="24"/>
      <c r="F22" s="24"/>
      <c r="G22" s="24"/>
      <c r="H22" s="24"/>
      <c r="I22" s="24"/>
      <c r="J22" s="24"/>
    </row>
    <row r="23" customFormat="false" ht="27.75" hidden="false" customHeight="true" outlineLevel="0" collapsed="false">
      <c r="A23" s="23" t="s">
        <v>106</v>
      </c>
      <c r="B23" s="23"/>
      <c r="C23" s="23"/>
      <c r="D23" s="23"/>
      <c r="E23" s="23"/>
      <c r="F23" s="23"/>
      <c r="G23" s="23"/>
      <c r="H23" s="23"/>
      <c r="I23" s="23"/>
      <c r="J23" s="23"/>
    </row>
    <row r="24" customFormat="false" ht="147.75" hidden="false" customHeight="true" outlineLevel="0" collapsed="false">
      <c r="A24" s="25"/>
      <c r="B24" s="25"/>
      <c r="C24" s="25"/>
      <c r="D24" s="25"/>
      <c r="E24" s="25"/>
      <c r="F24" s="25"/>
      <c r="G24" s="25"/>
      <c r="H24" s="25"/>
      <c r="I24" s="25"/>
      <c r="J24" s="25"/>
    </row>
    <row r="25" customFormat="false" ht="14.25" hidden="false" customHeight="true" outlineLevel="0" collapsed="false">
      <c r="A25" s="26" t="s">
        <v>107</v>
      </c>
      <c r="B25" s="26"/>
      <c r="C25" s="26"/>
      <c r="D25" s="26"/>
      <c r="E25" s="26"/>
      <c r="F25" s="26"/>
      <c r="G25" s="26"/>
      <c r="H25" s="26"/>
      <c r="I25" s="26"/>
      <c r="J25" s="26"/>
    </row>
  </sheetData>
  <mergeCells count="9">
    <mergeCell ref="A1:J1"/>
    <mergeCell ref="A2:J2"/>
    <mergeCell ref="B6:D6"/>
    <mergeCell ref="A8:J8"/>
    <mergeCell ref="A21:J21"/>
    <mergeCell ref="A22:J22"/>
    <mergeCell ref="A23:J23"/>
    <mergeCell ref="A24:J24"/>
    <mergeCell ref="A25:J25"/>
  </mergeCells>
  <dataValidations count="4">
    <dataValidation allowBlank="true" error="Pick a value from the list." errorStyle="stop" errorTitle="Choose from the list" operator="between" showDropDown="false" showErrorMessage="false" showInputMessage="false" sqref="B4" type="list">
      <formula1>"BUILD,GROW,LAUNCH"</formula1>
      <formula2>0</formula2>
    </dataValidation>
    <dataValidation allowBlank="true" error="Pick a value from the list." errorStyle="stop" errorTitle="Choose from the list" operator="between" showDropDown="false" showErrorMessage="false" showInputMessage="false" sqref="B5" type="list">
      <formula1>"Autumn,Spring,Summer"</formula1>
      <formula2>0</formula2>
    </dataValidation>
    <dataValidation allowBlank="true" error="Pick a value from the list." errorStyle="stop" errorTitle="Choose from the list" operator="between" showDropDown="false" showErrorMessage="false" showInputMessage="false" sqref="A10:A19"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G10:G19" type="list">
      <formula1>"F,S,F + 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6" activePane="bottomLeft" state="frozen"/>
      <selection pane="topLeft" activeCell="A1" activeCellId="0" sqref="A1"/>
      <selection pane="bottomLeft" activeCell="A7" activeCellId="0" sqref="A7"/>
    </sheetView>
  </sheetViews>
  <sheetFormatPr defaultColWidth="8.57031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10"/>
    <col collapsed="false" customWidth="true" hidden="false" outlineLevel="0" max="4" min="4" style="1" width="15"/>
    <col collapsed="false" customWidth="true" hidden="false" outlineLevel="0" max="5" min="5" style="1" width="26"/>
    <col collapsed="false" customWidth="true" hidden="false" outlineLevel="0" max="7" min="6" style="1" width="28"/>
    <col collapsed="false" customWidth="true" hidden="false" outlineLevel="0" max="8" min="8" style="1" width="18"/>
    <col collapsed="false" customWidth="true" hidden="false" outlineLevel="0" max="9" min="9" style="1" width="22"/>
  </cols>
  <sheetData>
    <row r="1" customFormat="false" ht="25.5" hidden="false" customHeight="true" outlineLevel="0" collapsed="false">
      <c r="A1" s="27" t="s">
        <v>108</v>
      </c>
      <c r="B1" s="27"/>
      <c r="C1" s="27"/>
      <c r="D1" s="27"/>
      <c r="E1" s="27"/>
      <c r="F1" s="27"/>
      <c r="G1" s="27"/>
      <c r="H1" s="27"/>
      <c r="I1" s="27"/>
    </row>
    <row r="2" customFormat="false" ht="14.25" hidden="false" customHeight="true" outlineLevel="0" collapsed="false">
      <c r="A2" s="3"/>
      <c r="B2" s="3"/>
      <c r="C2" s="3"/>
      <c r="D2" s="3"/>
      <c r="E2" s="3"/>
      <c r="F2" s="3"/>
      <c r="G2" s="3"/>
      <c r="H2" s="3"/>
      <c r="I2" s="3"/>
    </row>
    <row r="4" customFormat="false" ht="27.75" hidden="false" customHeight="true" outlineLevel="0" collapsed="false">
      <c r="A4" s="9" t="s">
        <v>109</v>
      </c>
      <c r="B4" s="9" t="s">
        <v>2</v>
      </c>
      <c r="C4" s="9" t="s">
        <v>110</v>
      </c>
      <c r="D4" s="9" t="s">
        <v>111</v>
      </c>
      <c r="E4" s="9" t="s">
        <v>112</v>
      </c>
      <c r="F4" s="9" t="s">
        <v>113</v>
      </c>
      <c r="G4" s="9" t="s">
        <v>114</v>
      </c>
      <c r="H4" s="9" t="s">
        <v>115</v>
      </c>
      <c r="I4" s="9" t="s">
        <v>116</v>
      </c>
    </row>
    <row r="5" customFormat="false" ht="136.5" hidden="false" customHeight="true" outlineLevel="0" collapsed="false">
      <c r="A5" s="19" t="s">
        <v>117</v>
      </c>
      <c r="B5" s="20" t="s">
        <v>3</v>
      </c>
      <c r="C5" s="20" t="s">
        <v>118</v>
      </c>
      <c r="D5" s="28"/>
      <c r="E5" s="20"/>
      <c r="F5" s="29"/>
      <c r="G5" s="20"/>
      <c r="H5" s="20"/>
      <c r="I5" s="20"/>
    </row>
    <row r="6" customFormat="false" ht="42" hidden="false" customHeight="true" outlineLevel="0" collapsed="false">
      <c r="A6" s="19" t="s">
        <v>119</v>
      </c>
      <c r="B6" s="20" t="s">
        <v>3</v>
      </c>
      <c r="C6" s="20" t="s">
        <v>118</v>
      </c>
      <c r="D6" s="28"/>
      <c r="E6" s="29"/>
      <c r="F6" s="20"/>
      <c r="G6" s="20"/>
      <c r="H6" s="20"/>
      <c r="I6" s="20"/>
    </row>
    <row r="7" customFormat="false" ht="42" hidden="false" customHeight="true" outlineLevel="0" collapsed="false">
      <c r="A7" s="19" t="s">
        <v>120</v>
      </c>
      <c r="B7" s="20" t="s">
        <v>3</v>
      </c>
      <c r="C7" s="20" t="s">
        <v>118</v>
      </c>
      <c r="D7" s="30"/>
      <c r="E7" s="31"/>
      <c r="F7" s="31"/>
      <c r="G7" s="14"/>
      <c r="H7" s="14"/>
      <c r="I7" s="31"/>
    </row>
    <row r="8" customFormat="false" ht="30" hidden="false" customHeight="true" outlineLevel="0" collapsed="false">
      <c r="A8" s="32"/>
      <c r="B8" s="32"/>
      <c r="C8" s="32"/>
      <c r="D8" s="32"/>
      <c r="E8" s="32"/>
      <c r="F8" s="32"/>
      <c r="G8" s="32"/>
      <c r="H8" s="32"/>
      <c r="I8" s="32"/>
    </row>
    <row r="9" customFormat="false" ht="30" hidden="false" customHeight="true" outlineLevel="0" collapsed="false">
      <c r="A9" s="33"/>
      <c r="B9" s="33"/>
      <c r="C9" s="33"/>
      <c r="D9" s="33"/>
      <c r="E9" s="33"/>
      <c r="F9" s="33"/>
      <c r="G9" s="33"/>
      <c r="H9" s="33"/>
      <c r="I9" s="33"/>
    </row>
    <row r="10" customFormat="false" ht="30" hidden="false" customHeight="true" outlineLevel="0" collapsed="false">
      <c r="A10" s="32"/>
      <c r="B10" s="32"/>
      <c r="C10" s="32"/>
      <c r="D10" s="32"/>
      <c r="E10" s="32"/>
      <c r="F10" s="32"/>
      <c r="G10" s="32"/>
      <c r="H10" s="32"/>
      <c r="I10" s="32"/>
    </row>
    <row r="11" customFormat="false" ht="30" hidden="false" customHeight="true" outlineLevel="0" collapsed="false">
      <c r="A11" s="33"/>
      <c r="B11" s="33"/>
      <c r="C11" s="33"/>
      <c r="D11" s="33"/>
      <c r="E11" s="33"/>
      <c r="F11" s="33"/>
      <c r="G11" s="33"/>
      <c r="H11" s="33"/>
      <c r="I11" s="33"/>
    </row>
    <row r="12" customFormat="false" ht="30" hidden="false" customHeight="true" outlineLevel="0" collapsed="false">
      <c r="A12" s="32"/>
      <c r="B12" s="32"/>
      <c r="C12" s="32"/>
      <c r="D12" s="32"/>
      <c r="E12" s="32"/>
      <c r="F12" s="32"/>
      <c r="G12" s="32"/>
      <c r="H12" s="32"/>
      <c r="I12" s="32"/>
    </row>
    <row r="13" customFormat="false" ht="30" hidden="false" customHeight="true" outlineLevel="0" collapsed="false">
      <c r="A13" s="33"/>
      <c r="B13" s="33"/>
      <c r="C13" s="33"/>
      <c r="D13" s="33"/>
      <c r="E13" s="33"/>
      <c r="F13" s="33"/>
      <c r="G13" s="33"/>
      <c r="H13" s="33"/>
      <c r="I13" s="33"/>
    </row>
    <row r="14" customFormat="false" ht="30" hidden="false" customHeight="true" outlineLevel="0" collapsed="false">
      <c r="A14" s="32"/>
      <c r="B14" s="32"/>
      <c r="C14" s="32"/>
      <c r="D14" s="32"/>
      <c r="E14" s="32"/>
      <c r="F14" s="32"/>
      <c r="G14" s="32"/>
      <c r="H14" s="32"/>
      <c r="I14" s="32"/>
    </row>
    <row r="15" customFormat="false" ht="30" hidden="false" customHeight="true" outlineLevel="0" collapsed="false">
      <c r="A15" s="33"/>
      <c r="B15" s="33"/>
      <c r="C15" s="33"/>
      <c r="D15" s="33"/>
      <c r="E15" s="33"/>
      <c r="F15" s="33"/>
      <c r="G15" s="33"/>
      <c r="H15" s="33"/>
      <c r="I15" s="33"/>
    </row>
    <row r="16" customFormat="false" ht="30" hidden="false" customHeight="true" outlineLevel="0" collapsed="false">
      <c r="A16" s="32"/>
      <c r="B16" s="32"/>
      <c r="C16" s="32"/>
      <c r="D16" s="32"/>
      <c r="E16" s="32"/>
      <c r="F16" s="32"/>
      <c r="G16" s="32"/>
      <c r="H16" s="32"/>
      <c r="I16" s="32"/>
    </row>
    <row r="17" customFormat="false" ht="30" hidden="false" customHeight="true" outlineLevel="0" collapsed="false">
      <c r="A17" s="33"/>
      <c r="B17" s="33"/>
      <c r="C17" s="33"/>
      <c r="D17" s="33"/>
      <c r="E17" s="33"/>
      <c r="F17" s="33"/>
      <c r="G17" s="33"/>
      <c r="H17" s="33"/>
      <c r="I17" s="33"/>
    </row>
    <row r="18" customFormat="false" ht="30" hidden="false" customHeight="true" outlineLevel="0" collapsed="false">
      <c r="A18" s="32"/>
      <c r="B18" s="32"/>
      <c r="C18" s="32"/>
      <c r="D18" s="32"/>
      <c r="E18" s="32"/>
      <c r="F18" s="32"/>
      <c r="G18" s="32"/>
      <c r="H18" s="32"/>
      <c r="I18" s="32"/>
    </row>
    <row r="19" customFormat="false" ht="30" hidden="false" customHeight="true" outlineLevel="0" collapsed="false">
      <c r="A19" s="33"/>
      <c r="B19" s="33"/>
      <c r="C19" s="33"/>
      <c r="D19" s="33"/>
      <c r="E19" s="33"/>
      <c r="F19" s="33"/>
      <c r="G19" s="33"/>
      <c r="H19" s="33"/>
      <c r="I19" s="33"/>
    </row>
  </sheetData>
  <mergeCells count="2">
    <mergeCell ref="A1:I1"/>
    <mergeCell ref="A2:I2"/>
  </mergeCells>
  <conditionalFormatting sqref="B5:B19">
    <cfRule type="cellIs" priority="2" operator="equal" aboveAverage="0" equalAverage="0" bottom="0" percent="0" rank="0" text="" dxfId="0">
      <formula>"BUILD"</formula>
    </cfRule>
    <cfRule type="cellIs" priority="3" operator="equal" aboveAverage="0" equalAverage="0" bottom="0" percent="0" rank="0" text="" dxfId="1">
      <formula>"GROW"</formula>
    </cfRule>
    <cfRule type="cellIs" priority="4" operator="equal" aboveAverage="0" equalAverage="0" bottom="0" percent="0" rank="0" text="" dxfId="2">
      <formula>"LAUNCH"</formula>
    </cfRule>
  </conditionalFormatting>
  <dataValidations count="1">
    <dataValidation allowBlank="true" error="Pick a value from the list." errorStyle="stop" errorTitle="Choose from the list" operator="between" showDropDown="false" showErrorMessage="false" showInputMessage="false" sqref="B5:B19" type="list">
      <formula1>"BUILD,GROW,LAUNCH"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7" activePane="bottomLeft" state="frozen"/>
      <selection pane="topLeft" activeCell="A1" activeCellId="0" sqref="A1"/>
      <selection pane="bottomLeft" activeCell="A9" activeCellId="0" sqref="A9"/>
    </sheetView>
  </sheetViews>
  <sheetFormatPr defaultColWidth="8.5703125" defaultRowHeight="14.25" zeroHeight="false" outlineLevelRow="0" outlineLevelCol="0"/>
  <cols>
    <col collapsed="false" customWidth="true" hidden="false" outlineLevel="0" max="1" min="1" style="1" width="12"/>
    <col collapsed="false" customWidth="true" hidden="false" outlineLevel="0" max="2" min="2" style="1" width="11"/>
    <col collapsed="false" customWidth="true" hidden="false" outlineLevel="0" max="3" min="3" style="1" width="16"/>
    <col collapsed="false" customWidth="true" hidden="false" outlineLevel="0" max="4" min="4" style="1" width="28"/>
    <col collapsed="false" customWidth="true" hidden="false" outlineLevel="0" max="5" min="5" style="1" width="24"/>
    <col collapsed="false" customWidth="true" hidden="false" outlineLevel="0" max="6" min="6" style="1" width="9"/>
    <col collapsed="false" customWidth="true" hidden="false" outlineLevel="0" max="7" min="7" style="1" width="24"/>
    <col collapsed="false" customWidth="true" hidden="false" outlineLevel="0" max="8" min="8" style="1" width="18"/>
    <col collapsed="false" customWidth="true" hidden="false" outlineLevel="0" max="9" min="9" style="1" width="26"/>
  </cols>
  <sheetData>
    <row r="1" customFormat="false" ht="25.5" hidden="false" customHeight="true" outlineLevel="0" collapsed="false">
      <c r="A1" s="27" t="s">
        <v>121</v>
      </c>
      <c r="B1" s="27"/>
      <c r="C1" s="27"/>
      <c r="D1" s="27"/>
      <c r="E1" s="27"/>
      <c r="F1" s="27"/>
      <c r="G1" s="27"/>
      <c r="H1" s="27"/>
      <c r="I1" s="27"/>
    </row>
    <row r="2" customFormat="false" ht="14.25" hidden="false" customHeight="true" outlineLevel="0" collapsed="false">
      <c r="A2" s="34" t="s">
        <v>122</v>
      </c>
      <c r="B2" s="34"/>
      <c r="C2" s="34"/>
      <c r="D2" s="34"/>
      <c r="E2" s="34"/>
      <c r="F2" s="34"/>
      <c r="G2" s="34"/>
      <c r="H2" s="34"/>
      <c r="I2" s="34"/>
    </row>
    <row r="3" customFormat="false" ht="18" hidden="false" customHeight="true" outlineLevel="0" collapsed="false">
      <c r="A3" s="35" t="s">
        <v>123</v>
      </c>
      <c r="B3" s="36" t="s">
        <v>124</v>
      </c>
      <c r="C3" s="36"/>
      <c r="D3" s="37" t="s">
        <v>125</v>
      </c>
      <c r="E3" s="36" t="s">
        <v>126</v>
      </c>
      <c r="F3" s="36"/>
      <c r="G3" s="38" t="s">
        <v>127</v>
      </c>
      <c r="H3" s="36" t="s">
        <v>128</v>
      </c>
      <c r="I3" s="36"/>
    </row>
    <row r="5" customFormat="false" ht="27.75" hidden="false" customHeight="true" outlineLevel="0" collapsed="false">
      <c r="A5" s="9" t="s">
        <v>129</v>
      </c>
      <c r="B5" s="9" t="s">
        <v>2</v>
      </c>
      <c r="C5" s="9" t="s">
        <v>13</v>
      </c>
      <c r="D5" s="9" t="s">
        <v>130</v>
      </c>
      <c r="E5" s="9" t="s">
        <v>131</v>
      </c>
      <c r="F5" s="9" t="s">
        <v>132</v>
      </c>
      <c r="G5" s="9" t="s">
        <v>133</v>
      </c>
      <c r="H5" s="9" t="s">
        <v>134</v>
      </c>
      <c r="I5" s="9" t="s">
        <v>135</v>
      </c>
    </row>
    <row r="6" customFormat="false" ht="58.5" hidden="false" customHeight="true" outlineLevel="0" collapsed="false">
      <c r="A6" s="39" t="n">
        <v>46265</v>
      </c>
      <c r="B6" s="20" t="s">
        <v>3</v>
      </c>
      <c r="C6" s="40" t="s">
        <v>23</v>
      </c>
      <c r="D6" s="13" t="s">
        <v>136</v>
      </c>
      <c r="E6" s="41"/>
      <c r="F6" s="41"/>
      <c r="G6" s="41"/>
      <c r="H6" s="41"/>
      <c r="I6" s="41"/>
    </row>
    <row r="7" customFormat="false" ht="54.75" hidden="false" customHeight="true" outlineLevel="0" collapsed="false">
      <c r="A7" s="39" t="n">
        <v>46279</v>
      </c>
      <c r="B7" s="20" t="s">
        <v>3</v>
      </c>
      <c r="C7" s="42" t="s">
        <v>33</v>
      </c>
      <c r="D7" s="17" t="s">
        <v>35</v>
      </c>
      <c r="E7" s="32"/>
      <c r="F7" s="32"/>
      <c r="G7" s="32"/>
      <c r="H7" s="32"/>
      <c r="I7" s="32"/>
    </row>
    <row r="8" customFormat="false" ht="30" hidden="false" customHeight="true" outlineLevel="0" collapsed="false">
      <c r="A8" s="39" t="n">
        <v>46279</v>
      </c>
      <c r="B8" s="20" t="s">
        <v>3</v>
      </c>
      <c r="C8" s="20" t="s">
        <v>42</v>
      </c>
      <c r="D8" s="20" t="s">
        <v>137</v>
      </c>
      <c r="E8" s="20"/>
      <c r="F8" s="20"/>
      <c r="G8" s="20"/>
      <c r="H8" s="20"/>
      <c r="I8" s="20"/>
    </row>
    <row r="9" customFormat="false" ht="30" hidden="false" customHeight="true" outlineLevel="0" collapsed="false">
      <c r="A9" s="39" t="n">
        <v>46279</v>
      </c>
      <c r="B9" s="20" t="s">
        <v>3</v>
      </c>
      <c r="C9" s="20" t="s">
        <v>51</v>
      </c>
      <c r="D9" s="20" t="s">
        <v>53</v>
      </c>
      <c r="E9" s="20"/>
      <c r="F9" s="20"/>
      <c r="G9" s="20"/>
      <c r="H9" s="20"/>
      <c r="I9" s="20"/>
    </row>
    <row r="10" customFormat="false" ht="30" hidden="false" customHeight="true" outlineLevel="0" collapsed="false">
      <c r="A10" s="39" t="n">
        <v>46279</v>
      </c>
      <c r="B10" s="20" t="s">
        <v>3</v>
      </c>
      <c r="C10" s="20" t="s">
        <v>69</v>
      </c>
      <c r="D10" s="20" t="s">
        <v>71</v>
      </c>
      <c r="E10" s="20"/>
      <c r="F10" s="20"/>
      <c r="G10" s="20"/>
      <c r="H10" s="20"/>
      <c r="I10" s="20"/>
    </row>
    <row r="11" customFormat="false" ht="30" hidden="false" customHeight="true" outlineLevel="0" collapsed="false">
      <c r="A11" s="39" t="n">
        <v>46279</v>
      </c>
      <c r="B11" s="20" t="s">
        <v>3</v>
      </c>
      <c r="C11" s="43" t="s">
        <v>60</v>
      </c>
      <c r="D11" s="20" t="s">
        <v>62</v>
      </c>
      <c r="E11" s="33"/>
      <c r="F11" s="33"/>
      <c r="G11" s="33"/>
      <c r="H11" s="33"/>
      <c r="I11" s="33"/>
    </row>
    <row r="12" customFormat="false" ht="30" hidden="false" customHeight="true" outlineLevel="0" collapsed="false">
      <c r="A12" s="39" t="n">
        <v>46279</v>
      </c>
      <c r="B12" s="20" t="s">
        <v>3</v>
      </c>
      <c r="C12" s="20" t="s">
        <v>78</v>
      </c>
      <c r="D12" s="20" t="s">
        <v>80</v>
      </c>
      <c r="E12" s="20"/>
      <c r="F12" s="20"/>
      <c r="G12" s="32"/>
      <c r="H12" s="32"/>
      <c r="I12" s="32"/>
    </row>
    <row r="13" customFormat="false" ht="30" hidden="false" customHeight="true" outlineLevel="0" collapsed="false">
      <c r="A13" s="39" t="n">
        <v>46279</v>
      </c>
      <c r="B13" s="43" t="s">
        <v>3</v>
      </c>
      <c r="C13" s="43" t="s">
        <v>138</v>
      </c>
      <c r="D13" s="20" t="s">
        <v>99</v>
      </c>
      <c r="E13" s="33"/>
      <c r="F13" s="33"/>
      <c r="G13" s="33"/>
      <c r="H13" s="33"/>
      <c r="I13" s="33"/>
    </row>
    <row r="14" customFormat="false" ht="30" hidden="false" customHeight="true" outlineLevel="0" collapsed="false">
      <c r="A14" s="32"/>
      <c r="B14" s="32"/>
      <c r="C14" s="42"/>
      <c r="D14" s="32"/>
      <c r="E14" s="32"/>
      <c r="F14" s="32"/>
      <c r="G14" s="32"/>
      <c r="H14" s="32"/>
      <c r="I14" s="32"/>
    </row>
    <row r="15" customFormat="false" ht="30" hidden="false" customHeight="true" outlineLevel="0" collapsed="false">
      <c r="A15" s="33"/>
      <c r="B15" s="43"/>
      <c r="C15" s="43"/>
      <c r="D15" s="33"/>
      <c r="E15" s="33"/>
      <c r="F15" s="33"/>
      <c r="G15" s="33"/>
      <c r="H15" s="33"/>
      <c r="I15" s="33"/>
    </row>
    <row r="16" customFormat="false" ht="25.5" hidden="false" customHeight="true" outlineLevel="0" collapsed="false">
      <c r="A16" s="32"/>
      <c r="B16" s="32"/>
      <c r="C16" s="42"/>
      <c r="D16" s="32"/>
      <c r="E16" s="32"/>
      <c r="F16" s="32"/>
      <c r="G16" s="32"/>
      <c r="H16" s="32"/>
      <c r="I16" s="32"/>
    </row>
    <row r="17" customFormat="false" ht="25.5" hidden="false" customHeight="true" outlineLevel="0" collapsed="false">
      <c r="A17" s="33"/>
      <c r="B17" s="43"/>
      <c r="C17" s="43"/>
      <c r="D17" s="33"/>
      <c r="E17" s="33"/>
      <c r="F17" s="33"/>
      <c r="G17" s="33"/>
      <c r="H17" s="33"/>
      <c r="I17" s="33"/>
    </row>
    <row r="18" customFormat="false" ht="25.5" hidden="false" customHeight="true" outlineLevel="0" collapsed="false">
      <c r="A18" s="32"/>
      <c r="B18" s="32"/>
      <c r="C18" s="42"/>
      <c r="D18" s="32"/>
      <c r="E18" s="32"/>
      <c r="F18" s="32"/>
      <c r="G18" s="32"/>
      <c r="H18" s="32"/>
      <c r="I18" s="32"/>
    </row>
    <row r="19" customFormat="false" ht="25.5" hidden="false" customHeight="true" outlineLevel="0" collapsed="false">
      <c r="A19" s="33"/>
      <c r="B19" s="43"/>
      <c r="C19" s="43"/>
      <c r="D19" s="33"/>
      <c r="E19" s="33"/>
      <c r="F19" s="33"/>
      <c r="G19" s="33"/>
      <c r="H19" s="33"/>
      <c r="I19" s="33"/>
    </row>
    <row r="20" customFormat="false" ht="25.5" hidden="false" customHeight="true" outlineLevel="0" collapsed="false"/>
    <row r="21" customFormat="false" ht="25.5" hidden="false" customHeight="true" outlineLevel="0" collapsed="false">
      <c r="C21" s="44" t="s">
        <v>139</v>
      </c>
      <c r="D21" s="45" t="n">
        <f aca="false">COUNTIF($F$8:$F$19,"Green")</f>
        <v>0</v>
      </c>
      <c r="E21" s="46" t="n">
        <f aca="false">COUNTIF($F$8:$F$19,"Amber")</f>
        <v>0</v>
      </c>
      <c r="F21" s="47" t="n">
        <f aca="false">COUNTIF($F$8:$F$19,"Red")</f>
        <v>0</v>
      </c>
    </row>
    <row r="22" customFormat="false" ht="25.5" hidden="false" customHeight="true" outlineLevel="0" collapsed="false">
      <c r="D22" s="48" t="s">
        <v>140</v>
      </c>
      <c r="E22" s="48" t="s">
        <v>141</v>
      </c>
      <c r="F22" s="48" t="s">
        <v>142</v>
      </c>
    </row>
    <row r="23" customFormat="false" ht="25.5" hidden="false" customHeight="true" outlineLevel="0" collapsed="false"/>
    <row r="24" customFormat="false" ht="25.5" hidden="false" customHeight="true" outlineLevel="0" collapsed="false"/>
    <row r="25" customFormat="false" ht="25.5" hidden="false" customHeight="true" outlineLevel="0" collapsed="false"/>
    <row r="26" customFormat="false" ht="25.5" hidden="false" customHeight="true" outlineLevel="0" collapsed="false"/>
    <row r="27" customFormat="false" ht="25.5" hidden="false" customHeight="true" outlineLevel="0" collapsed="false"/>
  </sheetData>
  <mergeCells count="5">
    <mergeCell ref="A1:I1"/>
    <mergeCell ref="A2:I2"/>
    <mergeCell ref="B3:C3"/>
    <mergeCell ref="E3:F3"/>
    <mergeCell ref="H3:I3"/>
  </mergeCells>
  <conditionalFormatting sqref="F7:F27">
    <cfRule type="cellIs" priority="2" operator="equal" aboveAverage="0" equalAverage="0" bottom="0" percent="0" rank="0" text="" dxfId="0">
      <formula>"Green"</formula>
    </cfRule>
    <cfRule type="cellIs" priority="3" operator="equal" aboveAverage="0" equalAverage="0" bottom="0" percent="0" rank="0" text="" dxfId="3">
      <formula>"Amber"</formula>
    </cfRule>
    <cfRule type="cellIs" priority="4" operator="equal" aboveAverage="0" equalAverage="0" bottom="0" percent="0" rank="0" text="" dxfId="4">
      <formula>"Red"</formula>
    </cfRule>
  </conditionalFormatting>
  <dataValidations count="4">
    <dataValidation allowBlank="true" error="Pick a value from the list." errorStyle="stop" errorTitle="Choose from the list" operator="between" showDropDown="false" showErrorMessage="false" showInputMessage="false" sqref="B6:B27" type="list">
      <formula1>"BUILD,GROW,LAUNCH"</formula1>
      <formula2>0</formula2>
    </dataValidation>
    <dataValidation allowBlank="true" error="Pick a value from the list." errorStyle="stop" errorTitle="Choose from the list" operator="between" showDropDown="false" showErrorMessage="false" showInputMessage="false" sqref="C7:C27"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F7:F27" type="list">
      <formula1>"Green,Amber,Red"</formula1>
      <formula2>0</formula2>
    </dataValidation>
    <dataValidation allowBlank="true" error="Pick a value from the list." errorStyle="stop" errorTitle="Choose from the list" operator="between" showDropDown="false" showErrorMessage="false" showInputMessage="false" sqref="H7:H27" type="list">
      <formula1>"Achieved (move on),Revisit in class,Intervention"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2026-06-22T07:46:21Z</dcterms:created>
  <dc:creator>openpyxl</dc:creator>
  <dc:description/>
  <dc:language>en-US</dc:language>
  <cp:lastModifiedBy>Hanna Kemp</cp:lastModifiedBy>
  <dcterms:modified xsi:type="dcterms:W3CDTF">2026-07-15T11:04:51Z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0x0101002C6E38C4B2056147BFEE88C7F682B392</vt:lpwstr>
  </property>
  <property fmtid="{D5CDD505-2E9C-101B-9397-08002B2CF9AE}" pid="3" name="MediaServiceImageTags">
    <vt:lpwstr/>
  </property>
</Properties>
</file>