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Weekly Plan" sheetId="1" state="visible" r:id="rId3"/>
    <sheet name="Students" sheetId="2" state="visible" r:id="rId4"/>
    <sheet name="Outcomes RA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<sst xmlns="http://schemas.openxmlformats.org/spreadsheetml/2006/main" count="177" uniqueCount="145">
  <si>
    <t xml:space="preserve">Weekly Planner - To be submitted to Head of School prior to the start of each Half-Term</t>
  </si>
  <si>
    <t xml:space="preserve">Progress Schools  ·  linked to the 2026/27 Schemes of Work</t>
  </si>
  <si>
    <t xml:space="preserve">Pathway</t>
  </si>
  <si>
    <t xml:space="preserve">LAUNCH</t>
  </si>
  <si>
    <t xml:space="preserve">Week no.</t>
  </si>
  <si>
    <t xml:space="preserve">Term</t>
  </si>
  <si>
    <t xml:space="preserve">Autumn</t>
  </si>
  <si>
    <t xml:space="preserve">Group / class</t>
  </si>
  <si>
    <t xml:space="preserve">Launch</t>
  </si>
  <si>
    <t xml:space="preserve">Theme</t>
  </si>
  <si>
    <t xml:space="preserve">Teacher</t>
  </si>
  <si>
    <t xml:space="preserve">Week commencing</t>
  </si>
  <si>
    <t xml:space="preserve">Reviewed by</t>
  </si>
  <si>
    <t xml:space="preserve">SMSC/BV this week: no calendar event — the weekly BV/KCSIE assembly series continues (log pupil coverage in the BV hub).  AHEAD: International Day of Peace lands Mon 21 Sep (W4).</t>
  </si>
  <si>
    <t xml:space="preserve">Subject</t>
  </si>
  <si>
    <t xml:space="preserve">SoW unit (this term)</t>
  </si>
  <si>
    <t xml:space="preserve">This week's outcome</t>
  </si>
  <si>
    <t xml:space="preserve">Activities</t>
  </si>
  <si>
    <t xml:space="preserve">Key vocabulary</t>
  </si>
  <si>
    <t xml:space="preserve">Resources required</t>
  </si>
  <si>
    <t xml:space="preserve">Assess. (F/S)</t>
  </si>
  <si>
    <t xml:space="preserve">Student adaptations</t>
  </si>
  <si>
    <t xml:space="preserve">Classroom support</t>
  </si>
  <si>
    <t xml:space="preserve">Evaluation (after teaching)</t>
  </si>
  <si>
    <t xml:space="preserve">English</t>
  </si>
  <si>
    <t xml:space="preserve">AQA GCSE English Language Paper 1 Q1: retrieve explicit information from unseen fiction. AO1.</t>
  </si>
  <si>
    <t xml:space="preserve">I can find four correct pieces of information from a fiction extract.</t>
  </si>
  <si>
    <t xml:space="preserve">Arrival task: find 4 facts from a short paragraph → model Q1 using “read, underline, check” → students practise identifying true statements →  quick self-check against success criteria.</t>
  </si>
  <si>
    <t xml:space="preserve">retrieve, explicit, statement, evidence, fact, fiction, extrac</t>
  </si>
  <si>
    <t xml:space="preserve">Short unseen fiction extract; Q1 multiple-choice statements; highlighter/reading ruler; mini success criteria; tracker sheet.</t>
  </si>
  <si>
    <t xml:space="preserve">F</t>
  </si>
  <si>
    <t xml:space="preserve">Large print/coloured paper; shortened extract;  key words highlighted; reading pen/reader support; scaffold fade for confident students.</t>
  </si>
  <si>
    <t xml:space="preserve">TA to support students with reading the extract, underlining key information and checking answers without giving the answer.
LOOP [Feedback Policy]: Voice = in-lesson edit / green-pen redraft against the target [//, NS] → Audience: read the redraft against the mark scheme and name the improvement before [R]; deferred response 10–15 min next lesson for essays → EVIDENCE: coded, redrafted book + before/after photo [E: literacy].</t>
  </si>
  <si>
    <t xml:space="preserve">To complete after teaching: record who can retrieve independently, who needs support and who needs further reading intervention.  → Influence: shapes the next instruction and the mock-exam plan; feeds the EHCP/PfA target at review [NS].</t>
  </si>
  <si>
    <t xml:space="preserve">Maths</t>
  </si>
  <si>
    <t xml:space="preserve">Number, money &amp; financial capability</t>
  </si>
  <si>
    <t xml:space="preserve">I can recognise the value of digits in numbers and apply the four operations accurately in a range of contexts.</t>
  </si>
  <si>
    <t xml:space="preserve">Identify the value of digits in whole numbers using place value knowledge. Partition numbers into hundreds, tens and ones. Practise addition, subtraction, multiplication and division using a range of methods. Solve calculations involving the four operations. Apply number skills to real-life contexts such as money, measurement and problem-solving. Complete reasoning activities that require explaining mathematical thinking. Use practical resources and written methods to develop fluency and accuracy.
Place-value poker: draw digit cards to build the biggest/smallest number to spec ('largest even number…') — beat-the-teacher rounds with mini-whiteboard show-me.</t>
  </si>
  <si>
    <t xml:space="preserve">Place value, Digit, Value, Ones, Tens, Hundreds, Thousands, Sum, Difference, Product, Divide, Operation, Estimate</t>
  </si>
  <si>
    <t xml:space="preserve">Place value charts, Number lines, Multiplication grids, Calculators (where appropriate)</t>
  </si>
  <si>
    <t xml:space="preserve">Use concrete resources and visual representations to support understanding, Break calculations into manageable steps, Provide worked examples, modelling and guided practice, Adapt the size and complexity of numbers to meet individual needs, Extend higher-attaining pupils through multi-step problems and reasoning challenges.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</si>
  <si>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Teacher modelling of place value and calculation strategies, Regular reinforcement of mathematical vocabulary, Practical resources available throughout lessons.
LOOP [Feedback Policy]: Voice = mini-whiteboard show-me / worked re-do [VF, I] → Audience: mark against the method, one [NS]; [R] on an accurate re-do → EVIDENCE: station photo + book (payslips/ratio), same day [E: numeracy/PfA — counts toward the 3-piece weekly minimum].</t>
  </si>
  <si>
    <t xml:space="preserve">Influence: the grade-push skill identified shapes the next lesson and the December summative plan [NS].</t>
  </si>
  <si>
    <t xml:space="preserve">Science</t>
  </si>
  <si>
    <t xml:space="preserve">Topic 1 Key concepts in biology — cells (eukaryotic &amp; prokaryotic) · Edexcel GCSE Biology 1BI0 (F), Paper 1 · SoW Aut1·W2</t>
  </si>
  <si>
    <t xml:space="preserve">I can describe animal, plant and bacterial cells — naming the sub-cellular structures and what each does — and explain how eukaryotic and prokaryotic cells differ.</t>
  </si>
  <si>
    <t xml:space="preserve">Thematic &amp; catch-up-proof: every lesson opens with a 'Cell Recap Race' and independently practises 'name the parts &amp; their jobs'.  L1 Become the Cell — pupils ACT the sub-cellular parts (nucleus = control, mitochondria = energy star-jumps, ribosomes = protein builders) → tap-to-label (Cells L1 widget) + build-a-cell model.  L2 Plant Cell Upgrade — recap race; add cell wall, chloroplast, vacuole; 'Spot the Difference' animal-vs-plant hunt; superhero plant-cell design.  L3 Tiny Invaders: Bacteria — meet the prokaryote (no nucleus, DNA loop, plasmids, flagellum); eukaryote-vs-prokaryote human sorting line; exit 'describe ANY cell'.  EVIDENCE: We Do print + exit ticket + a banked 1BI0 Topic 1 item.  EXAM STRETCH: a 4-mark 'compare eukaryotic &amp; prokaryotic cells' question + command-word focus (describe vs explain) → toward a strong Foundation grade (4–5).</t>
  </si>
  <si>
    <t xml:space="preserve">eukaryotic, prokaryotic, sub-cellular, nucleus, cytoplasm, cell membrane, mitochondria, ribosome, cell wall, chloroplast, vacuole, plasmid, flagellum</t>
  </si>
  <si>
    <t xml:space="preserve">Cells L1 HTML (tap-to-label + dyslexia tints); giant cell outline + sub-cellular part cards (human sort); part-to-job &amp; 'describe a cell' challenge cards; plant &amp; bacterial cell diagrams; playdough / junk for build-a-cell; 3-tier pupil packs (F/M/H); vocab mat; IWB.</t>
  </si>
  <si>
    <t xml:space="preserve">Pre-teach the long terms (vocab mat + symbols); reduced-label diagrams &amp; tint overlay for lower readers; sentence frame for 'describe' answers; reader/scribe per access arrangements.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</si>
  <si>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models tap-to-label with the lower-reading group and runs the vocab mat; reader available for the exit ticket; pre-agree any 'checker' roles at the Mon 8:40 brief.  No second adult needed — classroom-based; microscopes/practical are W3.  'Become the Cell' drama is opt-in — a pupil can direct, photograph or call the parts instead of acting (protects Pupil B's need for space and keeps Pupil C off the spot).
LOOP [Feedback Policy]: Voice = in-lesson edit / core-practical write-up / magnification calc / exam-style answer [//, NS, I] → Audience: mark against the mark scheme or model answer and name the improvement before [R]; deferred response 10–15 min next lesson for write-ups; listen to clips fully before tagging → EVIDENCE: coded, redrafted book + labelled drawing / spreadsheet + before/after photo [E: science — counts toward the weekly minimum].</t>
  </si>
  <si>
    <t xml:space="preserve">Note who names sub-cellular parts and their jobs unprompted vs who needs the vocab mat; flag who is secure enough for the eukaryotic-vs-prokaryotic compare question; keep each pupil's model / exit ticket as the banked 1BI0 item.  → Influence: the command-word / calculation gap identified shapes the next lesson, the December summative plan and the EHCP/PfA target at review [NS]; log RAG per topic to target re-teach.</t>
  </si>
  <si>
    <t xml:space="preserve">PSHE / RSE</t>
  </si>
  <si>
    <t xml:space="preserve">Identity, relationships &amp; rights in adult life · PSHE Association SEND framework · AQA UAS 'Healthy relationships'</t>
  </si>
  <si>
    <t xml:space="preserve">I can identify my support network and describe what makes a relationship respectful.</t>
  </si>
  <si>
    <t xml:space="preserve">Recap → 'My Team' support-network line-up (who's got my back &amp; how to reach them) → 'respect or red flag?' move-to-a-corner scenario game → traffic-light boundaries &amp; consent vocab.  Parental agreement secured for RSHE.  EVIDENCE: network map + scenario responses (AQA UAS).  STRETCH: rights &amp; the law in relationships → toward optional GCSE Citizenship Studies (AQA 8100).</t>
  </si>
  <si>
    <t xml:space="preserve">support network, respect, boundary, consent, trust, help-seeking</t>
  </si>
  <si>
    <t xml:space="preserve">PSHE Association SEND relationships unit; network-mapping sheet; scenario cards; safe-adult / helpline info</t>
  </si>
  <si>
    <t xml:space="preserve">Symbol-supported network map; private 1:1 for sensitive items; opt-out respected; distancing techniques; easy-read scenarios.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</si>
  <si>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leads a small group for sensitive content and pre-agrees with the safeguarding lead how any disclosures are handled.
LOOP [Feedback Policy]: Voice = recorded micro-interview / script-flip / portfolio piece [VF] → Audience: listen fully, name one strength + one [NS] before tagging; then [R] → EVIDENCE: recording/portfolio to EFL, same day [E: PfA/careers/transition — weekly PfA minimum].</t>
  </si>
  <si>
    <t xml:space="preserve">Influence: feeds each pupil's real destination (college/barbering) → PfA plan and IEDP Outcome 5 [NS].</t>
  </si>
  <si>
    <t xml:space="preserve">RE</t>
  </si>
  <si>
    <t xml:space="preserve">Belief, identity &amp; belonging</t>
  </si>
  <si>
    <t xml:space="preserve">I can identify similarities and differences between two worldviews and explain how beliefs influence actions and choices.</t>
  </si>
  <si>
    <t xml:space="preserve">Explore two different worldviews through stories, discussions and case studies, Identify similarities and differences between beliefs, values and traditions, Discuss how beliefs can influence people's actions, behaviour and choices, Compare how individuals and communities express their beliefs, Take part in group discussions, reflection activities and role-play scenarios, Complete comparison charts, posters or written tasks showing similarities and differences, Consider how respect and understanding can help people live together in diverse communities.</t>
  </si>
  <si>
    <t xml:space="preserve">Worldview, Belief, Values, Identity, Faith, Religion, Culture, Tradition, Similarities, Differences, Choice, Influence, Respect, Diversity, Community,Perspective,</t>
  </si>
  <si>
    <t xml:space="preserve">Stories and case studies, Photographs and videos, Faith and worldview information cards, Comparison charts and graphic organisers, Vocabulary mats</t>
  </si>
  <si>
    <t xml:space="preserve">Use visual prompts, stories and real-life examples to support understanding, Provide comparison templates and vocabulary mats, Allow pupils to demonstrate learning through speaking, drawing or writing, Use paired and small-group discussions to support participation, Provide additional adult support where required, Extend learning through deeper comparison and reasoning activities.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</si>
  <si>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Teacher modelling of respectful comparison and discussion, An inclusive environment where different beliefs and viewpoints are valued, Guided questioning to encourage critical thinking and reflection, Visual resources and key vocabulary displayed throughout lessons, Small-group support and scaffolding where needed, Positive reinforcement of respectful participation and discussion, Ongoing assessment through observation, questioning and pupil responses.
LOOP [Feedback Policy]: Voice = P-E-E paragraph + spoken viva; green-pen upgrade [//, NS, ?] → Audience: mark against the RS scheme and name the improvement; deferred response for the write; [R] after the upgrade is received → EVIDENCE: paragraph + before/after photo + viva clip [E: RE].</t>
  </si>
  <si>
    <t xml:space="preserve">Influence: the command-word skill shapes the next exam-style question and the December summative [NS].</t>
  </si>
  <si>
    <t xml:space="preserve">Humanities</t>
  </si>
  <si>
    <t xml:space="preserve">History: migration, identity &amp; 20th-century Britain (NC KS3/4) · AQA UAS 'Historical enquiry' · optional GCSE History 8145 (stretch) · SoW Aut1·W2</t>
  </si>
  <si>
    <t xml:space="preserve">I can explain causes and consequences of migration to modern Britain and begin a structured account.</t>
  </si>
  <si>
    <t xml:space="preserve">'Cause &amp; consequence' human-domino sort (why people migrated / what changed) → 'is this source reliable?' courtroom mini-game → structured-account paragraph with a writing frame (links English).  BHM: people who shaped Britain.  EVIDENCE: structured account + source evaluation (AQA UAS).  GCSE STRETCH: 'how useful is this source?' (content + provenance) → toward optional GCSE History 8145.  Pupil A (dyslexia): source text on magenta / with overlay + read-aloud; she can give the reliability verdict verbally before writing.</t>
  </si>
  <si>
    <t xml:space="preserve">cause, consequence, migration, evidence, structured account, interpretation</t>
  </si>
  <si>
    <t xml:space="preserve">Cause/consequence cards; digital archive sources; structured-account writing frame; Coming to England / Natives extracts</t>
  </si>
  <si>
    <t xml:space="preserve">Writing frame for the structured account; source glossary; dual coding; reduced-source load; reader/scribe per access arrangements.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</si>
  <si>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supports the writing-frame group.
LOOP [Feedback Policy]: Voice = source-based edit / structured account [//, NS] → Audience: read against the criteria and name the change; deferred for the account; then [R] → EVIDENCE: coded book + enrichment photos [E: humanities].</t>
  </si>
  <si>
    <t xml:space="preserve">Influence: assessment technique shapes the next enquiry's scaffold [NS].</t>
  </si>
  <si>
    <t xml:space="preserve">Arts (Arts Award)</t>
  </si>
  <si>
    <t xml:space="preserve">Identity in art: developing as an artist (Trinity Arts Award Silver, Unit 1 Part A) · stretch to Gold / GCSE Art · SoW Creative Arts</t>
  </si>
  <si>
    <t xml:space="preserve">I can develop an identity self-portrait in my chosen media and reflect on my choices in my portfolio.</t>
  </si>
  <si>
    <t xml:space="preserve">Symbolism game ('if I were an object / animal / weather…') → develop a surreal identity self-portrait in chosen media (hands-on) → photograph each stage + reflect.  BHM artist study.  EVIDENCE: portfolio development pages + reflection (Arts Award Silver).  GCSE STRETCH: refine with media experiments &amp; annotation → toward Arts Award Gold / GCSE Art.</t>
  </si>
  <si>
    <t xml:space="preserve">development, symbolism, identity, reflection, influence, technique</t>
  </si>
  <si>
    <t xml:space="preserve">Arts Award Silver logbooks; portrait media; BHM artist case studies; cameras / tablets for evidence capture</t>
  </si>
  <si>
    <t xml:space="preserve">S</t>
  </si>
  <si>
    <t xml:space="preserve">Choice of medium; photo / voice-note reflection; step-by-step demos; reduced written load.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</si>
  <si>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supports portfolio evidence capture and uploads.
LOOP [Feedback Policy]: Voice = make + written/recorded arts review + reflection [VF, //] → Audience: engage with the review against the Award criteria, one [NS]; listen fully before tagging; then [R] → EVIDENCE: Arts Award Silver portfolio = the accreditation evidence [E: Arts Award] — live/deferred.</t>
  </si>
  <si>
    <t xml:space="preserve">Influence: the portfolio builds toward Silver → accreditation next step at moderation [NS].</t>
  </si>
  <si>
    <t xml:space="preserve">PfA/ASDAN PEQ</t>
  </si>
  <si>
    <t xml:space="preserve"> Communication skills: components and barriers. ComSk1/ComSk2 Communication skills: meaning of communication, ways/types/purposes, components of effective communication and difficulties/impact of poor communication.</t>
  </si>
  <si>
    <t xml:space="preserve">Arrival scenario: what went wrong? → teach ways/types/purposes of communication → sort components of effective communication → analyse realistic barriers in college/work/community contexts → complete communication knowledge evidence sheet.</t>
  </si>
  <si>
    <t xml:space="preserve">communication, verbal, non-verbal, written, purpose, audience, component, barrier, impact, register</t>
  </si>
  <si>
    <t xml:space="preserve">Communication scenario cards; components/barriers sort; workplace/college examples; knowledge evidence sheet; PEQ criteria checklist.</t>
  </si>
  <si>
    <t xml:space="preserve">Choice of examples; MCQ/tick-box scaffold before written explanation; sentence stems for 'This affects communication because...'; audio response option; no cold calling.</t>
  </si>
  <si>
    <t xml:space="preserve">TA to rehearse vocabulary and scribe where agreed. Teacher to check whether evidence is Level 1 outline or Level 2 describe/explain standard.</t>
  </si>
  <si>
    <t xml:space="preserve">To complete after teaching: record whether the learner can evidence required range of ways/types/purposes/components/barriers and which criteria still need development.</t>
  </si>
  <si>
    <t xml:space="preserve">PE</t>
  </si>
  <si>
    <t xml:space="preserve">Living Independently</t>
  </si>
  <si>
    <t xml:space="preserve">
Looking after myself &amp; my home</t>
  </si>
  <si>
    <t xml:space="preserve">I can identify common hazards in the home and explain how to stay safe.</t>
  </si>
  <si>
    <t xml:space="preserve">Discuss potential dangers found at home.
Complete a hazard spotting activity using room photographs.
Match hazards to appropriate safety solutions.
Share one hazard and explain how to prevent accidents.</t>
  </si>
  <si>
    <t xml:space="preserve">Hazard
Risk
Safe
Emergency
Accident
Prevention</t>
  </si>
  <si>
    <t xml:space="preserve">Hazard photographs
Safety matching cards
Whiteboard or interactive screen</t>
  </si>
  <si>
    <t xml:space="preserve">Use colour-coded hazards.
Simplify choices to two options.
Allow verbal responses instead of written work.
Extension: Explain why a hazard is dangerous.</t>
  </si>
  <si>
    <t xml:space="preserve">Use real-life examples students may encounter.
Reinforce key safety messages throughout.
Model correct responses to hazards.
Provide additional visual cues where needed.
Check understanding through targeted questioning.</t>
  </si>
  <si>
    <t xml:space="preserve">Enrichment &amp; wider opportunities this week   (trips, visitors, themed days, SMSC calendar link, PfA / community)</t>
  </si>
  <si>
    <t xml:space="preserve">Black History Month launches (1 Oct) — diverse British history through Humanities, Art &amp; assemblies.  Whole-school theme assembly: Identity &amp; Belonging → diverse Britain.  PfA / community: a local walk — outdoor regulation &amp; community access; employer / visitor link if available.</t>
  </si>
  <si>
    <t xml:space="preserve">Resources &amp; support to prepare before the week   (printing, kit, bookings, briefing the team)</t>
  </si>
  <si>
    <t xml:space="preserve">Print: cells 3-tier packs + part-to-job &amp; 'describe a cell' cards, exit tickets, cause/consequence cards, support-network &amp; 'respect or red flag?' cards.  Kit &amp; H&amp;S: load Cells L1 HTML; giant cell outline &amp; part cards; playdough / junk for build-a-cell; magnifiers; source case-files / objects &amp; magnifiers; art media.  Brief TAs Mon 8:40.  Book cameras / tablets for Arts Award evidence.</t>
  </si>
  <si>
    <t xml:space="preserve">F = formative  ·  S = summative  ·  PfA = Preparing for Adulthood  </t>
  </si>
  <si>
    <t xml:space="preserve">Student Adaptations</t>
  </si>
  <si>
    <t xml:space="preserve">Name</t>
  </si>
  <si>
    <t xml:space="preserve">Year / KS</t>
  </si>
  <si>
    <t xml:space="preserve">Reading age band</t>
  </si>
  <si>
    <t xml:space="preserve">Communication / sensory needs</t>
  </si>
  <si>
    <t xml:space="preserve">Key scaffolds &amp; adaptations</t>
  </si>
  <si>
    <t xml:space="preserve">EHCP primary outcomes</t>
  </si>
  <si>
    <t xml:space="preserve">PfA focus</t>
  </si>
  <si>
    <t xml:space="preserve">Notes</t>
  </si>
  <si>
    <t xml:space="preserve">Pupil A</t>
  </si>
  <si>
    <t xml:space="preserve">KS4</t>
  </si>
  <si>
    <t xml:space="preserve">Pupil B</t>
  </si>
  <si>
    <t xml:space="preserve">Pupil C</t>
  </si>
  <si>
    <t xml:space="preserve">Outcome Tracker </t>
  </si>
  <si>
    <t xml:space="preserve">Did everyone make progress and meet the outcome? </t>
  </si>
  <si>
    <t xml:space="preserve">GREEN</t>
  </si>
  <si>
    <t xml:space="preserve">All demonstrated progress &amp; achieved the outcome</t>
  </si>
  <si>
    <t xml:space="preserve">AMBER</t>
  </si>
  <si>
    <t xml:space="preserve">Partly met, revisit in class</t>
  </si>
  <si>
    <t xml:space="preserve">RED</t>
  </si>
  <si>
    <t xml:space="preserve">Not met, pick up through intervention</t>
  </si>
  <si>
    <t xml:space="preserve">Week (w/c)</t>
  </si>
  <si>
    <t xml:space="preserve">Outcome reviewed</t>
  </si>
  <si>
    <t xml:space="preserve">Marking / evidence</t>
  </si>
  <si>
    <t xml:space="preserve">RAG</t>
  </si>
  <si>
    <t xml:space="preserve">Students not yet secure</t>
  </si>
  <si>
    <t xml:space="preserve">Picked up via</t>
  </si>
  <si>
    <t xml:space="preserve">Action &amp; timescale</t>
  </si>
  <si>
    <t xml:space="preserve">Independent Living Skills</t>
  </si>
  <si>
    <t xml:space="preserve">PfA/ASDAN</t>
  </si>
  <si>
    <t xml:space="preserve">This sheet:</t>
  </si>
  <si>
    <t xml:space="preserve">Green</t>
  </si>
  <si>
    <t xml:space="preserve">Amber</t>
  </si>
  <si>
    <t xml:space="preserve">Red</t>
  </si>
</sst>
</file>

<file path=xl/styles.xml><?xml version="1.0" encoding="utf-8"?>
<styleSheet xmlns="http://schemas.openxmlformats.org/spreadsheetml/2006/main">
  <numFmts count="4">
    <numFmt numFmtId="164" formatCode="General"/>
    <numFmt numFmtId="165" formatCode="d\-mmm\-yy"/>
    <numFmt numFmtId="166" formatCode="@"/>
    <numFmt numFmtId="167" formatCode="General"/>
  </numFmts>
  <fonts count="24">
    <font>
      <sz val="11"/>
      <color theme="1"/>
      <name val="Calibri"/>
      <family val="2"/>
      <charset val="1"/>
    </font>
    <font>
      <sz val="10"/>
      <name val="Arial"/>
      <family val="0"/>
    </font>
    <font>
      <sz val="10"/>
      <name val="Arial"/>
      <family val="0"/>
    </font>
    <font>
      <sz val="10"/>
      <name val="Arial"/>
      <family val="0"/>
    </font>
    <font>
      <b val="true"/>
      <sz val="18"/>
      <color rgb="FFFFFFFF"/>
      <name val="Arial"/>
      <family val="2"/>
      <charset val="1"/>
    </font>
    <font>
      <sz val="10"/>
      <color rgb="FF566159"/>
      <name val="Arial"/>
      <family val="2"/>
      <charset val="1"/>
    </font>
    <font>
      <b val="true"/>
      <sz val="9"/>
      <color rgb="FF566159"/>
      <name val="Arial"/>
      <family val="2"/>
      <charset val="1"/>
    </font>
    <font>
      <b val="true"/>
      <sz val="10"/>
      <color rgb="FF1B2420"/>
      <name val="Arial"/>
      <family val="2"/>
      <charset val="1"/>
    </font>
    <font>
      <b val="true"/>
      <sz val="10"/>
      <color rgb="FF2E7D4F"/>
      <name val="Arial"/>
      <family val="2"/>
      <charset val="1"/>
    </font>
    <font>
      <sz val="9"/>
      <color rgb="FF2E2A5D"/>
      <name val="Arial"/>
      <family val="0"/>
      <charset val="1"/>
    </font>
    <font>
      <b val="true"/>
      <sz val="9"/>
      <color rgb="FFFFFFFF"/>
      <name val="Arial"/>
      <family val="2"/>
      <charset val="1"/>
    </font>
    <font>
      <b val="true"/>
      <sz val="9"/>
      <color rgb="FF1B2420"/>
      <name val="Arial"/>
      <family val="2"/>
      <charset val="1"/>
    </font>
    <font>
      <sz val="9"/>
      <color theme="1"/>
      <name val="Calibri"/>
      <family val="2"/>
      <charset val="1"/>
    </font>
    <font>
      <sz val="9"/>
      <color rgb="FF1B2420"/>
      <name val="Arial"/>
      <family val="2"/>
      <charset val="1"/>
    </font>
    <font>
      <sz val="9"/>
      <color theme="1"/>
      <name val="Arial"/>
      <family val="2"/>
      <charset val="1"/>
    </font>
    <font>
      <sz val="9"/>
      <color rgb="FF000000"/>
      <name val="Arial"/>
      <family val="2"/>
      <charset val="1"/>
    </font>
    <font>
      <sz val="8"/>
      <color rgb="FF566159"/>
      <name val="Arial"/>
      <family val="2"/>
      <charset val="1"/>
    </font>
    <font>
      <i val="true"/>
      <sz val="8"/>
      <color rgb="FF566159"/>
      <name val="Arial"/>
      <family val="2"/>
      <charset val="1"/>
    </font>
    <font>
      <b val="true"/>
      <sz val="16"/>
      <color rgb="FFFFFFFF"/>
      <name val="Arial"/>
      <family val="2"/>
      <charset val="1"/>
    </font>
    <font>
      <sz val="9"/>
      <color rgb="FF1F2A44"/>
      <name val="Open Sans"/>
      <family val="0"/>
      <charset val="1"/>
    </font>
    <font>
      <sz val="9"/>
      <color theme="1"/>
      <name val="Arial"/>
      <family val="0"/>
      <charset val="1"/>
    </font>
    <font>
      <sz val="10"/>
      <name val="Arial"/>
      <family val="2"/>
      <charset val="1"/>
    </font>
    <font>
      <sz val="9"/>
      <name val="Arial"/>
      <family val="2"/>
      <charset val="1"/>
    </font>
    <font>
      <b val="true"/>
      <sz val="10"/>
      <color rgb="FFFFFFFF"/>
      <name val="Arial"/>
      <family val="2"/>
      <charset val="1"/>
    </font>
  </fonts>
  <fills count="10">
    <fill>
      <patternFill patternType="none"/>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6">
    <border diagonalUp="false" diagonalDown="false">
      <left/>
      <right/>
      <top/>
      <bottom/>
      <diagonal/>
    </border>
    <border diagonalUp="false" diagonalDown="false">
      <left/>
      <right/>
      <top/>
      <bottom style="thin">
        <color rgb="FFC3CDC1"/>
      </bottom>
      <diagonal/>
    </border>
    <border diagonalUp="false" diagonalDown="false">
      <left style="thin">
        <color rgb="FFC9C9D6"/>
      </left>
      <right style="thin">
        <color rgb="FFC9C9D6"/>
      </right>
      <top style="thin">
        <color rgb="FFC9C9D6"/>
      </top>
      <bottom style="thin">
        <color rgb="FFC9C9D6"/>
      </bottom>
      <diagonal/>
    </border>
    <border diagonalUp="false" diagonalDown="false">
      <left style="thin">
        <color rgb="FFC3CDC1"/>
      </left>
      <right style="thin">
        <color rgb="FFC3CDC1"/>
      </right>
      <top style="thin">
        <color rgb="FFC3CDC1"/>
      </top>
      <bottom style="thin">
        <color rgb="FFC3CDC1"/>
      </bottom>
      <diagonal/>
    </border>
    <border diagonalUp="false" diagonalDown="false">
      <left style="thin"/>
      <right style="thin"/>
      <top style="thin"/>
      <bottom style="thin"/>
      <diagonal/>
    </border>
    <border diagonalUp="false" diagonalDown="false">
      <left style="thin">
        <color rgb="FFC3CDC1"/>
      </left>
      <right/>
      <top style="thin">
        <color rgb="FFC3CDC1"/>
      </top>
      <bottom style="thin">
        <color rgb="FFC3CD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5" borderId="3"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4" fontId="13" fillId="6" borderId="3" xfId="0" applyFont="tru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left" vertical="center" textRotation="0" wrapText="true" indent="0" shrinkToFit="false"/>
      <protection locked="true" hidden="false"/>
    </xf>
    <xf numFmtId="164" fontId="7" fillId="5" borderId="3" xfId="0" applyFont="true" applyBorder="true" applyAlignment="true" applyProtection="false">
      <alignment horizontal="center" vertical="center" textRotation="0" wrapText="true" indent="0" shrinkToFit="false"/>
      <protection locked="true" hidden="false"/>
    </xf>
    <xf numFmtId="164" fontId="8" fillId="5" borderId="3" xfId="0" applyFont="true" applyBorder="true" applyAlignment="true" applyProtection="false">
      <alignment horizontal="center" vertical="center" textRotation="0" wrapText="true" indent="0" shrinkToFit="false"/>
      <protection locked="true" hidden="false"/>
    </xf>
    <xf numFmtId="164" fontId="15" fillId="5" borderId="4" xfId="0" applyFont="true" applyBorder="true" applyAlignment="true" applyProtection="false">
      <alignment horizontal="general"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8" fillId="6" borderId="3" xfId="0" applyFont="true" applyBorder="true" applyAlignment="true" applyProtection="false">
      <alignment horizontal="general" vertical="top" textRotation="0" wrapText="true" indent="0" shrinkToFit="false"/>
      <protection locked="true" hidden="false"/>
    </xf>
    <xf numFmtId="164" fontId="16" fillId="6" borderId="3"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18" fillId="2" borderId="0" xfId="0" applyFont="true" applyBorder="true" applyAlignment="true" applyProtection="false">
      <alignment horizontal="left" vertical="center" textRotation="0" wrapText="false" indent="0" shrinkToFit="false"/>
      <protection locked="true" hidden="false"/>
    </xf>
    <xf numFmtId="166" fontId="13" fillId="5" borderId="3" xfId="0" applyFont="true" applyBorder="tru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6" fontId="13" fillId="5" borderId="5" xfId="0" applyFont="true" applyBorder="true" applyAlignment="true" applyProtection="false">
      <alignment horizontal="left" vertical="center" textRotation="0" wrapText="true" indent="0" shrinkToFit="false"/>
      <protection locked="true" hidden="false"/>
    </xf>
    <xf numFmtId="164" fontId="20" fillId="0" borderId="4" xfId="0" applyFont="true" applyBorder="true" applyAlignment="true" applyProtection="false">
      <alignment horizontal="general" vertical="center" textRotation="0" wrapText="true" indent="0" shrinkToFit="false"/>
      <protection locked="true" hidden="false"/>
    </xf>
    <xf numFmtId="164" fontId="13" fillId="5" borderId="4" xfId="0" applyFont="true" applyBorder="true" applyAlignment="true" applyProtection="false">
      <alignment horizontal="left" vertical="center" textRotation="0" wrapText="true" indent="0" shrinkToFit="false"/>
      <protection locked="true" hidden="false"/>
    </xf>
    <xf numFmtId="164" fontId="0" fillId="6" borderId="3" xfId="0" applyFont="false" applyBorder="true" applyAlignment="true" applyProtection="false">
      <alignment horizontal="left" vertical="center" textRotation="0" wrapText="true" indent="0" shrinkToFit="false"/>
      <protection locked="true" hidden="false"/>
    </xf>
    <xf numFmtId="164" fontId="0" fillId="5" borderId="3" xfId="0" applyFont="false" applyBorder="true" applyAlignment="true" applyProtection="false">
      <alignment horizontal="left" vertical="center" textRotation="0" wrapText="true" indent="0"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5" fontId="11" fillId="5" borderId="3" xfId="0" applyFont="true" applyBorder="true" applyAlignment="true" applyProtection="false">
      <alignment horizontal="left" vertical="center" textRotation="0" wrapText="true" indent="0" shrinkToFit="false"/>
      <protection locked="true" hidden="false"/>
    </xf>
    <xf numFmtId="164" fontId="0" fillId="6" borderId="3" xfId="0" applyFont="true" applyBorder="true" applyAlignment="true" applyProtection="false">
      <alignment horizontal="left" vertical="center" textRotation="0" wrapText="tru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23" fillId="7" borderId="0" xfId="0" applyFont="true" applyBorder="false" applyAlignment="true" applyProtection="false">
      <alignment horizontal="center" vertical="center" textRotation="0" wrapText="false" indent="0" shrinkToFit="false"/>
      <protection locked="true" hidden="false"/>
    </xf>
    <xf numFmtId="167" fontId="23" fillId="8" borderId="0" xfId="0" applyFont="true" applyBorder="false" applyAlignment="true" applyProtection="false">
      <alignment horizontal="center" vertical="center" textRotation="0" wrapText="false" indent="0" shrinkToFit="false"/>
      <protection locked="true" hidden="false"/>
    </xf>
    <xf numFmtId="167" fontId="23" fillId="9"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003300"/>
      <rgbColor rgb="FF1B2420"/>
      <rgbColor rgb="FFC0392B"/>
      <rgbColor rgb="FF993366"/>
      <rgbColor rgb="FF2E2A5D"/>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7" activePane="bottomLeft" state="frozen"/>
      <selection pane="topLeft" activeCell="A1" activeCellId="0" sqref="A1"/>
      <selection pane="bottomLeft" activeCell="H6" activeCellId="0" sqref="H6"/>
    </sheetView>
  </sheetViews>
  <sheetFormatPr defaultColWidth="8.5703125" defaultRowHeight="14.2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4" min="3" style="1" width="26"/>
    <col collapsed="false" customWidth="true" hidden="false" outlineLevel="0" max="5" min="5" style="1" width="16"/>
    <col collapsed="false" customWidth="true" hidden="false" outlineLevel="0" max="6" min="6" style="1" width="20"/>
    <col collapsed="false" customWidth="true" hidden="false" outlineLevel="0" max="7" min="7" style="1" width="10"/>
    <col collapsed="false" customWidth="true" hidden="false" outlineLevel="0" max="8" min="8" style="1" width="26"/>
    <col collapsed="false" customWidth="true" hidden="false" outlineLevel="0" max="10" min="9" style="1" width="22"/>
  </cols>
  <sheetData>
    <row r="1" customFormat="false" ht="30" hidden="false" customHeight="true" outlineLevel="0" collapsed="false">
      <c r="A1" s="2" t="s">
        <v>0</v>
      </c>
      <c r="B1" s="2"/>
      <c r="C1" s="2"/>
      <c r="D1" s="2"/>
      <c r="E1" s="2"/>
      <c r="F1" s="2"/>
      <c r="G1" s="2"/>
      <c r="H1" s="2"/>
      <c r="I1" s="2"/>
      <c r="J1" s="2"/>
    </row>
    <row r="2" customFormat="false" ht="14.25" hidden="false" customHeight="true" outlineLevel="0" collapsed="false">
      <c r="A2" s="3" t="s">
        <v>1</v>
      </c>
      <c r="B2" s="3"/>
      <c r="C2" s="3"/>
      <c r="D2" s="3"/>
      <c r="E2" s="3"/>
      <c r="F2" s="3"/>
      <c r="G2" s="3"/>
      <c r="H2" s="3"/>
      <c r="I2" s="3"/>
      <c r="J2" s="3"/>
    </row>
    <row r="4" customFormat="false" ht="19.5" hidden="false" customHeight="true" outlineLevel="0" collapsed="false">
      <c r="A4" s="4" t="s">
        <v>2</v>
      </c>
      <c r="B4" s="5" t="s">
        <v>3</v>
      </c>
      <c r="D4" s="1" t="n">
        <v>2</v>
      </c>
      <c r="F4" s="4" t="s">
        <v>4</v>
      </c>
      <c r="G4" s="5" t="n">
        <v>2</v>
      </c>
    </row>
    <row r="5" customFormat="false" ht="19.5" hidden="false" customHeight="true" outlineLevel="0" collapsed="false">
      <c r="A5" s="4" t="s">
        <v>5</v>
      </c>
      <c r="B5" s="5" t="s">
        <v>6</v>
      </c>
      <c r="F5" s="4" t="s">
        <v>7</v>
      </c>
      <c r="G5" s="5" t="s">
        <v>8</v>
      </c>
    </row>
    <row r="6" customFormat="false" ht="19.5" hidden="false" customHeight="true" outlineLevel="0" collapsed="false">
      <c r="A6" s="4" t="s">
        <v>9</v>
      </c>
      <c r="B6" s="6" t="str">
        <f aca="false">IF(B5="Autumn","Identity &amp; Belonging",IF(B5="Spring","Resilience &amp; Change",IF(B5="Summer","Our World, My Future","pick a term")))</f>
        <v>Identity &amp; Belonging</v>
      </c>
      <c r="C6" s="6"/>
      <c r="D6" s="6"/>
      <c r="F6" s="4" t="s">
        <v>10</v>
      </c>
      <c r="G6" s="5"/>
    </row>
    <row r="7" customFormat="false" ht="19.5" hidden="false" customHeight="true" outlineLevel="0" collapsed="false">
      <c r="A7" s="4" t="s">
        <v>11</v>
      </c>
      <c r="B7" s="7" t="n">
        <v>46272</v>
      </c>
      <c r="F7" s="4" t="s">
        <v>12</v>
      </c>
      <c r="G7" s="5"/>
    </row>
    <row r="8" customFormat="false" ht="33.75" hidden="false" customHeight="true" outlineLevel="0" collapsed="false">
      <c r="A8" s="8" t="s">
        <v>13</v>
      </c>
      <c r="B8" s="8"/>
      <c r="C8" s="8"/>
      <c r="D8" s="8"/>
      <c r="E8" s="8"/>
      <c r="F8" s="8"/>
      <c r="G8" s="8"/>
      <c r="H8" s="8"/>
      <c r="I8" s="8"/>
      <c r="J8" s="8"/>
    </row>
    <row r="9" customFormat="false" ht="30" hidden="false" customHeight="true" outlineLevel="0" collapsed="false">
      <c r="A9" s="9" t="s">
        <v>14</v>
      </c>
      <c r="B9" s="9" t="s">
        <v>15</v>
      </c>
      <c r="C9" s="9" t="s">
        <v>16</v>
      </c>
      <c r="D9" s="9" t="s">
        <v>17</v>
      </c>
      <c r="E9" s="9" t="s">
        <v>18</v>
      </c>
      <c r="F9" s="9" t="s">
        <v>19</v>
      </c>
      <c r="G9" s="9" t="s">
        <v>20</v>
      </c>
      <c r="H9" s="9" t="s">
        <v>21</v>
      </c>
      <c r="I9" s="9" t="s">
        <v>22</v>
      </c>
      <c r="J9" s="9" t="s">
        <v>23</v>
      </c>
    </row>
    <row r="10" customFormat="false" ht="330" hidden="false" customHeight="true" outlineLevel="0" collapsed="false">
      <c r="A10" s="10" t="s">
        <v>24</v>
      </c>
      <c r="B10" s="11" t="s">
        <v>25</v>
      </c>
      <c r="C10" s="11" t="s">
        <v>26</v>
      </c>
      <c r="D10" s="11" t="s">
        <v>27</v>
      </c>
      <c r="E10" s="11" t="s">
        <v>28</v>
      </c>
      <c r="F10" s="11" t="s">
        <v>29</v>
      </c>
      <c r="G10" s="12" t="s">
        <v>30</v>
      </c>
      <c r="H10" s="11" t="s">
        <v>31</v>
      </c>
      <c r="I10" s="13" t="s">
        <v>32</v>
      </c>
      <c r="J10" s="11" t="s">
        <v>33</v>
      </c>
    </row>
    <row r="11" customFormat="false" ht="330" hidden="false" customHeight="true" outlineLevel="0" collapsed="false">
      <c r="A11" s="14" t="s">
        <v>34</v>
      </c>
      <c r="B11" s="15" t="s">
        <v>35</v>
      </c>
      <c r="C11" s="16" t="s">
        <v>36</v>
      </c>
      <c r="D11" s="15" t="s">
        <v>37</v>
      </c>
      <c r="E11" s="15" t="s">
        <v>38</v>
      </c>
      <c r="F11" s="15" t="s">
        <v>39</v>
      </c>
      <c r="G11" s="15" t="s">
        <v>30</v>
      </c>
      <c r="H11" s="15" t="s">
        <v>40</v>
      </c>
      <c r="I11" s="15" t="s">
        <v>41</v>
      </c>
      <c r="J11" s="15" t="s">
        <v>42</v>
      </c>
    </row>
    <row r="12" customFormat="false" ht="339.75" hidden="false" customHeight="true" outlineLevel="0" collapsed="false">
      <c r="A12" s="10" t="s">
        <v>43</v>
      </c>
      <c r="B12" s="12" t="s">
        <v>44</v>
      </c>
      <c r="C12" s="12" t="s">
        <v>45</v>
      </c>
      <c r="D12" s="12" t="s">
        <v>46</v>
      </c>
      <c r="E12" s="12" t="s">
        <v>47</v>
      </c>
      <c r="F12" s="12" t="s">
        <v>48</v>
      </c>
      <c r="G12" s="12" t="s">
        <v>30</v>
      </c>
      <c r="H12" s="12" t="s">
        <v>49</v>
      </c>
      <c r="I12" s="12" t="s">
        <v>50</v>
      </c>
      <c r="J12" s="12" t="s">
        <v>51</v>
      </c>
    </row>
    <row r="13" customFormat="false" ht="330" hidden="false" customHeight="true" outlineLevel="0" collapsed="false">
      <c r="A13" s="14" t="s">
        <v>52</v>
      </c>
      <c r="B13" s="15" t="s">
        <v>53</v>
      </c>
      <c r="C13" s="15" t="s">
        <v>54</v>
      </c>
      <c r="D13" s="15" t="s">
        <v>55</v>
      </c>
      <c r="E13" s="15" t="s">
        <v>56</v>
      </c>
      <c r="F13" s="15" t="s">
        <v>57</v>
      </c>
      <c r="G13" s="15" t="s">
        <v>30</v>
      </c>
      <c r="H13" s="15" t="s">
        <v>58</v>
      </c>
      <c r="I13" s="15" t="s">
        <v>59</v>
      </c>
      <c r="J13" s="15" t="s">
        <v>60</v>
      </c>
    </row>
    <row r="14" customFormat="false" ht="330" hidden="false" customHeight="true" outlineLevel="0" collapsed="false">
      <c r="A14" s="10" t="s">
        <v>61</v>
      </c>
      <c r="B14" s="12" t="s">
        <v>62</v>
      </c>
      <c r="C14" s="12" t="s">
        <v>63</v>
      </c>
      <c r="D14" s="12" t="s">
        <v>64</v>
      </c>
      <c r="E14" s="12" t="s">
        <v>65</v>
      </c>
      <c r="F14" s="12" t="s">
        <v>66</v>
      </c>
      <c r="G14" s="12" t="s">
        <v>30</v>
      </c>
      <c r="H14" s="12" t="s">
        <v>67</v>
      </c>
      <c r="I14" s="12" t="s">
        <v>68</v>
      </c>
      <c r="J14" s="12" t="s">
        <v>69</v>
      </c>
    </row>
    <row r="15" customFormat="false" ht="360" hidden="false" customHeight="true" outlineLevel="0" collapsed="false">
      <c r="A15" s="14" t="s">
        <v>70</v>
      </c>
      <c r="B15" s="15" t="s">
        <v>71</v>
      </c>
      <c r="C15" s="15" t="s">
        <v>72</v>
      </c>
      <c r="D15" s="15" t="s">
        <v>73</v>
      </c>
      <c r="E15" s="15" t="s">
        <v>74</v>
      </c>
      <c r="F15" s="15" t="s">
        <v>75</v>
      </c>
      <c r="G15" s="15" t="s">
        <v>30</v>
      </c>
      <c r="H15" s="15" t="s">
        <v>76</v>
      </c>
      <c r="I15" s="15" t="s">
        <v>77</v>
      </c>
      <c r="J15" s="15" t="s">
        <v>78</v>
      </c>
    </row>
    <row r="16" customFormat="false" ht="408" hidden="false" customHeight="true" outlineLevel="0" collapsed="false">
      <c r="A16" s="17" t="s">
        <v>79</v>
      </c>
      <c r="B16" s="18" t="s">
        <v>80</v>
      </c>
      <c r="C16" s="18" t="s">
        <v>81</v>
      </c>
      <c r="D16" s="18" t="s">
        <v>82</v>
      </c>
      <c r="E16" s="18" t="s">
        <v>83</v>
      </c>
      <c r="F16" s="18" t="s">
        <v>84</v>
      </c>
      <c r="G16" s="18" t="s">
        <v>85</v>
      </c>
      <c r="H16" s="18" t="s">
        <v>86</v>
      </c>
      <c r="I16" s="18" t="s">
        <v>87</v>
      </c>
      <c r="J16" s="18" t="s">
        <v>88</v>
      </c>
    </row>
    <row r="17" customFormat="false" ht="180" hidden="false" customHeight="true" outlineLevel="0" collapsed="false">
      <c r="A17" s="17" t="s">
        <v>89</v>
      </c>
      <c r="B17" s="19" t="s">
        <v>90</v>
      </c>
      <c r="C17" s="18"/>
      <c r="D17" s="19" t="s">
        <v>91</v>
      </c>
      <c r="E17" s="19" t="s">
        <v>92</v>
      </c>
      <c r="F17" s="19" t="s">
        <v>93</v>
      </c>
      <c r="G17" s="18" t="s">
        <v>30</v>
      </c>
      <c r="H17" s="19" t="s">
        <v>94</v>
      </c>
      <c r="I17" s="19" t="s">
        <v>95</v>
      </c>
      <c r="J17" s="19" t="s">
        <v>96</v>
      </c>
    </row>
    <row r="18" customFormat="false" ht="45.75" hidden="false" customHeight="true" outlineLevel="0" collapsed="false">
      <c r="A18" s="14" t="s">
        <v>97</v>
      </c>
      <c r="B18" s="15"/>
      <c r="C18" s="15"/>
      <c r="D18" s="15"/>
      <c r="E18" s="15"/>
      <c r="F18" s="15"/>
      <c r="G18" s="15"/>
      <c r="H18" s="15"/>
      <c r="I18" s="15"/>
      <c r="J18" s="15"/>
    </row>
    <row r="19" customFormat="false" ht="45.75" hidden="false" customHeight="true" outlineLevel="0" collapsed="false">
      <c r="A19" s="10" t="s">
        <v>98</v>
      </c>
      <c r="B19" s="12" t="s">
        <v>99</v>
      </c>
      <c r="C19" s="12" t="s">
        <v>100</v>
      </c>
      <c r="D19" s="12" t="s">
        <v>101</v>
      </c>
      <c r="E19" s="12" t="s">
        <v>102</v>
      </c>
      <c r="F19" s="12" t="s">
        <v>103</v>
      </c>
      <c r="G19" s="12"/>
      <c r="H19" s="12" t="s">
        <v>104</v>
      </c>
      <c r="I19" s="12" t="s">
        <v>105</v>
      </c>
      <c r="J19" s="12"/>
    </row>
    <row r="21" customFormat="false" ht="18" hidden="false" customHeight="true" outlineLevel="0" collapsed="false">
      <c r="A21" s="20" t="s">
        <v>106</v>
      </c>
      <c r="B21" s="20"/>
      <c r="C21" s="20"/>
      <c r="D21" s="20"/>
      <c r="E21" s="20"/>
      <c r="F21" s="20"/>
      <c r="G21" s="20"/>
      <c r="H21" s="20"/>
      <c r="I21" s="20"/>
      <c r="J21" s="20"/>
    </row>
    <row r="22" customFormat="false" ht="117.75" hidden="false" customHeight="true" outlineLevel="0" collapsed="false">
      <c r="A22" s="21" t="s">
        <v>107</v>
      </c>
      <c r="B22" s="21"/>
      <c r="C22" s="21"/>
      <c r="D22" s="21"/>
      <c r="E22" s="21"/>
      <c r="F22" s="21"/>
      <c r="G22" s="21"/>
      <c r="H22" s="21"/>
      <c r="I22" s="21"/>
      <c r="J22" s="21"/>
    </row>
    <row r="23" customFormat="false" ht="18" hidden="false" customHeight="true" outlineLevel="0" collapsed="false">
      <c r="A23" s="20" t="s">
        <v>108</v>
      </c>
      <c r="B23" s="20"/>
      <c r="C23" s="20"/>
      <c r="D23" s="20"/>
      <c r="E23" s="20"/>
      <c r="F23" s="20"/>
      <c r="G23" s="20"/>
      <c r="H23" s="20"/>
      <c r="I23" s="20"/>
      <c r="J23" s="20"/>
    </row>
    <row r="24" customFormat="false" ht="147.75" hidden="false" customHeight="true" outlineLevel="0" collapsed="false">
      <c r="A24" s="22" t="s">
        <v>109</v>
      </c>
      <c r="B24" s="22"/>
      <c r="C24" s="22"/>
      <c r="D24" s="22"/>
      <c r="E24" s="22"/>
      <c r="F24" s="22"/>
      <c r="G24" s="22"/>
      <c r="H24" s="22"/>
      <c r="I24" s="22"/>
      <c r="J24" s="22"/>
    </row>
    <row r="25" customFormat="false" ht="14.25" hidden="false" customHeight="true" outlineLevel="0" collapsed="false">
      <c r="A25" s="23" t="s">
        <v>110</v>
      </c>
      <c r="B25" s="23"/>
      <c r="C25" s="23"/>
      <c r="D25" s="23"/>
      <c r="E25" s="23"/>
      <c r="F25" s="23"/>
      <c r="G25" s="23"/>
      <c r="H25" s="23"/>
      <c r="I25" s="23"/>
      <c r="J25" s="23"/>
    </row>
  </sheetData>
  <mergeCells count="9">
    <mergeCell ref="A1:J1"/>
    <mergeCell ref="A2:J2"/>
    <mergeCell ref="B6:D6"/>
    <mergeCell ref="A8:J8"/>
    <mergeCell ref="A21:J21"/>
    <mergeCell ref="A22:J22"/>
    <mergeCell ref="A23:J23"/>
    <mergeCell ref="A24:J24"/>
    <mergeCell ref="A25:J25"/>
  </mergeCells>
  <dataValidations count="4">
    <dataValidation allowBlank="true" error="Pick a value from the list." errorStyle="stop" errorTitle="Choose from the list" operator="between" showDropDown="false" showErrorMessage="false" showInputMessage="false" sqref="B4" type="list">
      <formula1>"BUILD,GROW,LAUNCH"</formula1>
      <formula2>0</formula2>
    </dataValidation>
    <dataValidation allowBlank="true" error="Pick a value from the list." errorStyle="stop" errorTitle="Choose from the list" operator="between" showDropDown="false" showErrorMessage="false" showInputMessage="false" sqref="B5" type="list">
      <formula1>"Autumn,Spring,Summer"</formula1>
      <formula2>0</formula2>
    </dataValidation>
    <dataValidation allowBlank="true" error="Pick a value from the list." errorStyle="stop" errorTitle="Choose from the list" operator="between" showDropDown="false" showErrorMessage="false" showInputMessage="false" sqref="A10:A19"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G10:G19" type="list">
      <formula1>"F,S,F + 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7" activeCellId="0" sqref="A7"/>
    </sheetView>
  </sheetViews>
  <sheetFormatPr defaultColWidth="8.57031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15"/>
    <col collapsed="false" customWidth="true" hidden="false" outlineLevel="0" max="5" min="5" style="1" width="26"/>
    <col collapsed="false" customWidth="true" hidden="false" outlineLevel="0" max="7" min="6" style="1" width="28"/>
    <col collapsed="false" customWidth="true" hidden="false" outlineLevel="0" max="8" min="8" style="1" width="18"/>
    <col collapsed="false" customWidth="true" hidden="false" outlineLevel="0" max="9" min="9" style="1" width="22"/>
  </cols>
  <sheetData>
    <row r="1" customFormat="false" ht="25.5" hidden="false" customHeight="true" outlineLevel="0" collapsed="false">
      <c r="A1" s="24" t="s">
        <v>111</v>
      </c>
      <c r="B1" s="24"/>
      <c r="C1" s="24"/>
      <c r="D1" s="24"/>
      <c r="E1" s="24"/>
      <c r="F1" s="24"/>
      <c r="G1" s="24"/>
      <c r="H1" s="24"/>
      <c r="I1" s="24"/>
    </row>
    <row r="2" customFormat="false" ht="14.25" hidden="false" customHeight="true" outlineLevel="0" collapsed="false">
      <c r="A2" s="3"/>
      <c r="B2" s="3"/>
      <c r="C2" s="3"/>
      <c r="D2" s="3"/>
      <c r="E2" s="3"/>
      <c r="F2" s="3"/>
      <c r="G2" s="3"/>
      <c r="H2" s="3"/>
      <c r="I2" s="3"/>
    </row>
    <row r="4" customFormat="false" ht="27.75" hidden="false" customHeight="true" outlineLevel="0" collapsed="false">
      <c r="A4" s="9" t="s">
        <v>112</v>
      </c>
      <c r="B4" s="9" t="s">
        <v>2</v>
      </c>
      <c r="C4" s="9" t="s">
        <v>113</v>
      </c>
      <c r="D4" s="9" t="s">
        <v>114</v>
      </c>
      <c r="E4" s="9" t="s">
        <v>115</v>
      </c>
      <c r="F4" s="9" t="s">
        <v>116</v>
      </c>
      <c r="G4" s="9" t="s">
        <v>117</v>
      </c>
      <c r="H4" s="9" t="s">
        <v>118</v>
      </c>
      <c r="I4" s="9" t="s">
        <v>119</v>
      </c>
    </row>
    <row r="5" customFormat="false" ht="42" hidden="false" customHeight="true" outlineLevel="0" collapsed="false">
      <c r="A5" s="10" t="s">
        <v>120</v>
      </c>
      <c r="B5" s="12" t="s">
        <v>3</v>
      </c>
      <c r="C5" s="12" t="s">
        <v>121</v>
      </c>
      <c r="D5" s="25"/>
      <c r="E5" s="12"/>
      <c r="F5" s="26"/>
      <c r="G5" s="12"/>
      <c r="H5" s="12"/>
      <c r="I5" s="12"/>
    </row>
    <row r="6" customFormat="false" ht="42" hidden="false" customHeight="true" outlineLevel="0" collapsed="false">
      <c r="A6" s="10" t="s">
        <v>122</v>
      </c>
      <c r="B6" s="12" t="s">
        <v>3</v>
      </c>
      <c r="C6" s="12" t="s">
        <v>121</v>
      </c>
      <c r="D6" s="25"/>
      <c r="E6" s="26"/>
      <c r="F6" s="12"/>
      <c r="G6" s="12"/>
      <c r="H6" s="12"/>
      <c r="I6" s="12"/>
    </row>
    <row r="7" customFormat="false" ht="42" hidden="false" customHeight="true" outlineLevel="0" collapsed="false">
      <c r="A7" s="10" t="s">
        <v>123</v>
      </c>
      <c r="B7" s="12" t="s">
        <v>3</v>
      </c>
      <c r="C7" s="12" t="s">
        <v>121</v>
      </c>
      <c r="D7" s="27"/>
      <c r="E7" s="28"/>
      <c r="F7" s="28"/>
      <c r="G7" s="29"/>
      <c r="H7" s="29"/>
      <c r="I7" s="28"/>
    </row>
    <row r="8" customFormat="false" ht="30" hidden="false" customHeight="true" outlineLevel="0" collapsed="false">
      <c r="A8" s="30"/>
      <c r="B8" s="30"/>
      <c r="C8" s="30"/>
      <c r="D8" s="30"/>
      <c r="E8" s="30"/>
      <c r="F8" s="30"/>
      <c r="G8" s="30"/>
      <c r="H8" s="30"/>
      <c r="I8" s="30"/>
    </row>
    <row r="9" customFormat="false" ht="30" hidden="false" customHeight="true" outlineLevel="0" collapsed="false">
      <c r="A9" s="31"/>
      <c r="B9" s="31"/>
      <c r="C9" s="31"/>
      <c r="D9" s="31"/>
      <c r="E9" s="31"/>
      <c r="F9" s="31"/>
      <c r="G9" s="31"/>
      <c r="H9" s="31"/>
      <c r="I9" s="31"/>
    </row>
    <row r="10" customFormat="false" ht="30" hidden="false" customHeight="true" outlineLevel="0" collapsed="false">
      <c r="A10" s="30"/>
      <c r="B10" s="30"/>
      <c r="C10" s="30"/>
      <c r="D10" s="30"/>
      <c r="E10" s="30"/>
      <c r="F10" s="30"/>
      <c r="G10" s="30"/>
      <c r="H10" s="30"/>
      <c r="I10" s="30"/>
    </row>
    <row r="11" customFormat="false" ht="30" hidden="false" customHeight="true" outlineLevel="0" collapsed="false">
      <c r="A11" s="31"/>
      <c r="B11" s="31"/>
      <c r="C11" s="31"/>
      <c r="D11" s="31"/>
      <c r="E11" s="31"/>
      <c r="F11" s="31"/>
      <c r="G11" s="31"/>
      <c r="H11" s="31"/>
      <c r="I11" s="31"/>
    </row>
    <row r="12" customFormat="false" ht="30" hidden="false" customHeight="true" outlineLevel="0" collapsed="false">
      <c r="A12" s="30"/>
      <c r="B12" s="30"/>
      <c r="C12" s="30"/>
      <c r="D12" s="30"/>
      <c r="E12" s="30"/>
      <c r="F12" s="30"/>
      <c r="G12" s="30"/>
      <c r="H12" s="30"/>
      <c r="I12" s="30"/>
    </row>
    <row r="13" customFormat="false" ht="30" hidden="false" customHeight="true" outlineLevel="0" collapsed="false">
      <c r="A13" s="31"/>
      <c r="B13" s="31"/>
      <c r="C13" s="31"/>
      <c r="D13" s="31"/>
      <c r="E13" s="31"/>
      <c r="F13" s="31"/>
      <c r="G13" s="31"/>
      <c r="H13" s="31"/>
      <c r="I13" s="31"/>
    </row>
    <row r="14" customFormat="false" ht="30" hidden="false" customHeight="true" outlineLevel="0" collapsed="false">
      <c r="A14" s="30"/>
      <c r="B14" s="30"/>
      <c r="C14" s="30"/>
      <c r="D14" s="30"/>
      <c r="E14" s="30"/>
      <c r="F14" s="30"/>
      <c r="G14" s="30"/>
      <c r="H14" s="30"/>
      <c r="I14" s="30"/>
    </row>
    <row r="15" customFormat="false" ht="30" hidden="false" customHeight="true" outlineLevel="0" collapsed="false">
      <c r="A15" s="31"/>
      <c r="B15" s="31"/>
      <c r="C15" s="31"/>
      <c r="D15" s="31"/>
      <c r="E15" s="31"/>
      <c r="F15" s="31"/>
      <c r="G15" s="31"/>
      <c r="H15" s="31"/>
      <c r="I15" s="31"/>
    </row>
    <row r="16" customFormat="false" ht="30" hidden="false" customHeight="true" outlineLevel="0" collapsed="false">
      <c r="A16" s="30"/>
      <c r="B16" s="30"/>
      <c r="C16" s="30"/>
      <c r="D16" s="30"/>
      <c r="E16" s="30"/>
      <c r="F16" s="30"/>
      <c r="G16" s="30"/>
      <c r="H16" s="30"/>
      <c r="I16" s="30"/>
    </row>
    <row r="17" customFormat="false" ht="30" hidden="false" customHeight="true" outlineLevel="0" collapsed="false">
      <c r="A17" s="31"/>
      <c r="B17" s="31"/>
      <c r="C17" s="31"/>
      <c r="D17" s="31"/>
      <c r="E17" s="31"/>
      <c r="F17" s="31"/>
      <c r="G17" s="31"/>
      <c r="H17" s="31"/>
      <c r="I17" s="31"/>
    </row>
    <row r="18" customFormat="false" ht="30" hidden="false" customHeight="true" outlineLevel="0" collapsed="false">
      <c r="A18" s="30"/>
      <c r="B18" s="30"/>
      <c r="C18" s="30"/>
      <c r="D18" s="30"/>
      <c r="E18" s="30"/>
      <c r="F18" s="30"/>
      <c r="G18" s="30"/>
      <c r="H18" s="30"/>
      <c r="I18" s="30"/>
    </row>
    <row r="19" customFormat="false" ht="30" hidden="false" customHeight="true" outlineLevel="0" collapsed="false">
      <c r="A19" s="31"/>
      <c r="B19" s="31"/>
      <c r="C19" s="31"/>
      <c r="D19" s="31"/>
      <c r="E19" s="31"/>
      <c r="F19" s="31"/>
      <c r="G19" s="31"/>
      <c r="H19" s="31"/>
      <c r="I19" s="31"/>
    </row>
  </sheetData>
  <mergeCells count="2">
    <mergeCell ref="A1:I1"/>
    <mergeCell ref="A2:I2"/>
  </mergeCells>
  <conditionalFormatting sqref="B5:B19">
    <cfRule type="cellIs" priority="2" operator="equal" aboveAverage="0" equalAverage="0" bottom="0" percent="0" rank="0" text="" dxfId="0">
      <formula>"BUILD"</formula>
    </cfRule>
    <cfRule type="cellIs" priority="3" operator="equal" aboveAverage="0" equalAverage="0" bottom="0" percent="0" rank="0" text="" dxfId="1">
      <formula>"GROW"</formula>
    </cfRule>
    <cfRule type="cellIs" priority="4" operator="equal" aboveAverage="0" equalAverage="0" bottom="0" percent="0" rank="0" text="" dxfId="2">
      <formula>"LAUNCH"</formula>
    </cfRule>
  </conditionalFormatting>
  <dataValidations count="1">
    <dataValidation allowBlank="true" error="Pick a value from the list." errorStyle="stop" errorTitle="Choose from the list" operator="between" showDropDown="false" showErrorMessage="false" showInputMessage="false" sqref="B5:B19" type="list">
      <formula1>"BUILD,GROW,LAUNCH"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E12" activeCellId="0" sqref="E12"/>
    </sheetView>
  </sheetViews>
  <sheetFormatPr defaultColWidth="8.5703125" defaultRowHeight="14.2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
    <col collapsed="false" customWidth="true" hidden="false" outlineLevel="0" max="7" min="7" style="1" width="24"/>
    <col collapsed="false" customWidth="true" hidden="false" outlineLevel="0" max="8" min="8" style="1" width="18"/>
    <col collapsed="false" customWidth="true" hidden="false" outlineLevel="0" max="9" min="9" style="1" width="26"/>
  </cols>
  <sheetData>
    <row r="1" customFormat="false" ht="25.5" hidden="false" customHeight="true" outlineLevel="0" collapsed="false">
      <c r="A1" s="24" t="s">
        <v>124</v>
      </c>
      <c r="B1" s="24"/>
      <c r="C1" s="24"/>
      <c r="D1" s="24"/>
      <c r="E1" s="24"/>
      <c r="F1" s="24"/>
      <c r="G1" s="24"/>
      <c r="H1" s="24"/>
      <c r="I1" s="24"/>
    </row>
    <row r="2" customFormat="false" ht="14.25" hidden="false" customHeight="true" outlineLevel="0" collapsed="false">
      <c r="A2" s="32" t="s">
        <v>125</v>
      </c>
      <c r="B2" s="32"/>
      <c r="C2" s="32"/>
      <c r="D2" s="32"/>
      <c r="E2" s="32"/>
      <c r="F2" s="32"/>
      <c r="G2" s="32"/>
      <c r="H2" s="32"/>
      <c r="I2" s="32"/>
    </row>
    <row r="3" customFormat="false" ht="18" hidden="false" customHeight="true" outlineLevel="0" collapsed="false">
      <c r="A3" s="33" t="s">
        <v>126</v>
      </c>
      <c r="B3" s="34" t="s">
        <v>127</v>
      </c>
      <c r="C3" s="34"/>
      <c r="D3" s="35" t="s">
        <v>128</v>
      </c>
      <c r="E3" s="34" t="s">
        <v>129</v>
      </c>
      <c r="F3" s="34"/>
      <c r="G3" s="36" t="s">
        <v>130</v>
      </c>
      <c r="H3" s="34" t="s">
        <v>131</v>
      </c>
      <c r="I3" s="34"/>
    </row>
    <row r="5" customFormat="false" ht="27.75" hidden="false" customHeight="true" outlineLevel="0" collapsed="false">
      <c r="A5" s="9" t="s">
        <v>132</v>
      </c>
      <c r="B5" s="9" t="s">
        <v>2</v>
      </c>
      <c r="C5" s="9" t="s">
        <v>14</v>
      </c>
      <c r="D5" s="9" t="s">
        <v>133</v>
      </c>
      <c r="E5" s="9" t="s">
        <v>134</v>
      </c>
      <c r="F5" s="9" t="s">
        <v>135</v>
      </c>
      <c r="G5" s="9" t="s">
        <v>136</v>
      </c>
      <c r="H5" s="9" t="s">
        <v>137</v>
      </c>
      <c r="I5" s="9" t="s">
        <v>138</v>
      </c>
    </row>
    <row r="6" customFormat="false" ht="30" hidden="false" customHeight="true" outlineLevel="0" collapsed="false">
      <c r="A6" s="37" t="n">
        <v>46272</v>
      </c>
      <c r="B6" s="12" t="s">
        <v>3</v>
      </c>
      <c r="C6" s="12" t="s">
        <v>43</v>
      </c>
      <c r="D6" s="12" t="s">
        <v>45</v>
      </c>
      <c r="E6" s="12"/>
      <c r="F6" s="12"/>
      <c r="G6" s="12"/>
      <c r="H6" s="12"/>
      <c r="I6" s="12"/>
    </row>
    <row r="7" customFormat="false" ht="30" hidden="false" customHeight="true" outlineLevel="0" collapsed="false">
      <c r="A7" s="37" t="n">
        <v>46272</v>
      </c>
      <c r="B7" s="12" t="s">
        <v>3</v>
      </c>
      <c r="C7" s="12" t="s">
        <v>52</v>
      </c>
      <c r="D7" s="12" t="s">
        <v>54</v>
      </c>
      <c r="E7" s="12"/>
      <c r="F7" s="12"/>
      <c r="G7" s="12"/>
      <c r="H7" s="12"/>
      <c r="I7" s="12"/>
    </row>
    <row r="8" customFormat="false" ht="30" hidden="false" customHeight="true" outlineLevel="0" collapsed="false">
      <c r="A8" s="37" t="n">
        <v>46272</v>
      </c>
      <c r="B8" s="12" t="s">
        <v>3</v>
      </c>
      <c r="C8" s="12" t="s">
        <v>70</v>
      </c>
      <c r="D8" s="12" t="s">
        <v>72</v>
      </c>
      <c r="E8" s="12"/>
      <c r="F8" s="12"/>
      <c r="G8" s="12"/>
      <c r="H8" s="12"/>
      <c r="I8" s="12"/>
    </row>
    <row r="9" customFormat="false" ht="30" hidden="false" customHeight="true" outlineLevel="0" collapsed="false">
      <c r="A9" s="37" t="n">
        <v>46272</v>
      </c>
      <c r="B9" s="12" t="s">
        <v>3</v>
      </c>
      <c r="C9" s="38" t="s">
        <v>61</v>
      </c>
      <c r="D9" s="12" t="s">
        <v>63</v>
      </c>
      <c r="E9" s="30"/>
      <c r="F9" s="30"/>
      <c r="G9" s="30"/>
      <c r="H9" s="30"/>
      <c r="I9" s="30"/>
    </row>
    <row r="10" customFormat="false" ht="30" hidden="false" customHeight="true" outlineLevel="0" collapsed="false">
      <c r="A10" s="37" t="n">
        <v>46272</v>
      </c>
      <c r="B10" s="12" t="s">
        <v>3</v>
      </c>
      <c r="C10" s="39" t="s">
        <v>34</v>
      </c>
      <c r="D10" s="16" t="s">
        <v>36</v>
      </c>
      <c r="E10" s="31"/>
      <c r="F10" s="31"/>
      <c r="G10" s="31"/>
      <c r="H10" s="31"/>
      <c r="I10" s="31"/>
    </row>
    <row r="11" customFormat="false" ht="30" hidden="false" customHeight="true" outlineLevel="0" collapsed="false">
      <c r="A11" s="37" t="n">
        <v>46272</v>
      </c>
      <c r="B11" s="38" t="s">
        <v>3</v>
      </c>
      <c r="C11" s="38" t="s">
        <v>139</v>
      </c>
      <c r="D11" s="12" t="s">
        <v>100</v>
      </c>
      <c r="E11" s="30"/>
      <c r="F11" s="30"/>
      <c r="G11" s="30"/>
      <c r="H11" s="30"/>
      <c r="I11" s="30"/>
    </row>
    <row r="12" customFormat="false" ht="30" hidden="false" customHeight="true" outlineLevel="0" collapsed="false">
      <c r="A12" s="37" t="n">
        <v>46272</v>
      </c>
      <c r="B12" s="38" t="s">
        <v>3</v>
      </c>
      <c r="C12" s="38" t="s">
        <v>140</v>
      </c>
      <c r="D12" s="31"/>
      <c r="E12" s="31"/>
      <c r="F12" s="31"/>
      <c r="G12" s="31"/>
      <c r="H12" s="31"/>
      <c r="I12" s="31"/>
    </row>
    <row r="13" customFormat="false" ht="30" hidden="false" customHeight="true" outlineLevel="0" collapsed="false">
      <c r="A13" s="30"/>
      <c r="B13" s="38"/>
      <c r="C13" s="38"/>
      <c r="D13" s="30"/>
      <c r="E13" s="30"/>
      <c r="F13" s="30"/>
      <c r="G13" s="30"/>
      <c r="H13" s="30"/>
      <c r="I13" s="30"/>
    </row>
    <row r="14" customFormat="false" ht="30" hidden="false" customHeight="true" outlineLevel="0" collapsed="false">
      <c r="A14" s="31"/>
      <c r="B14" s="31"/>
      <c r="C14" s="39"/>
      <c r="D14" s="31"/>
      <c r="E14" s="31"/>
      <c r="F14" s="31"/>
      <c r="G14" s="31"/>
      <c r="H14" s="31"/>
      <c r="I14" s="31"/>
    </row>
    <row r="15" customFormat="false" ht="25.5" hidden="false" customHeight="true" outlineLevel="0" collapsed="false">
      <c r="A15" s="30"/>
      <c r="B15" s="38"/>
      <c r="C15" s="38"/>
      <c r="D15" s="30"/>
      <c r="E15" s="30"/>
      <c r="F15" s="30"/>
      <c r="G15" s="30"/>
      <c r="H15" s="30"/>
      <c r="I15" s="30"/>
    </row>
    <row r="16" customFormat="false" ht="25.5" hidden="false" customHeight="true" outlineLevel="0" collapsed="false">
      <c r="A16" s="31"/>
      <c r="B16" s="31"/>
      <c r="C16" s="39"/>
      <c r="D16" s="31"/>
      <c r="E16" s="31"/>
      <c r="F16" s="31"/>
      <c r="G16" s="31"/>
      <c r="H16" s="31"/>
      <c r="I16" s="31"/>
    </row>
    <row r="17" customFormat="false" ht="25.5" hidden="false" customHeight="true" outlineLevel="0" collapsed="false">
      <c r="A17" s="30"/>
      <c r="B17" s="38"/>
      <c r="C17" s="38"/>
      <c r="D17" s="30"/>
      <c r="E17" s="30"/>
      <c r="F17" s="30"/>
      <c r="G17" s="30"/>
      <c r="H17" s="30"/>
      <c r="I17" s="30"/>
    </row>
    <row r="18" customFormat="false" ht="25.5" hidden="false" customHeight="true" outlineLevel="0" collapsed="false">
      <c r="A18" s="31"/>
      <c r="B18" s="31"/>
      <c r="C18" s="39"/>
      <c r="D18" s="31"/>
      <c r="E18" s="31"/>
      <c r="F18" s="31"/>
      <c r="G18" s="31"/>
      <c r="H18" s="31"/>
      <c r="I18" s="31"/>
    </row>
    <row r="19" customFormat="false" ht="25.5" hidden="false" customHeight="true" outlineLevel="0" collapsed="false"/>
    <row r="20" customFormat="false" ht="25.5" hidden="false" customHeight="true" outlineLevel="0" collapsed="false">
      <c r="C20" s="40" t="s">
        <v>141</v>
      </c>
      <c r="D20" s="41" t="n">
        <f aca="false">COUNTIF($F$6:$F$18,"Green")</f>
        <v>0</v>
      </c>
      <c r="E20" s="42" t="n">
        <f aca="false">COUNTIF($F$6:$F$18,"Amber")</f>
        <v>0</v>
      </c>
      <c r="F20" s="43" t="n">
        <f aca="false">COUNTIF($F$6:$F$18,"Red")</f>
        <v>0</v>
      </c>
    </row>
    <row r="21" customFormat="false" ht="25.5" hidden="false" customHeight="true" outlineLevel="0" collapsed="false">
      <c r="D21" s="44" t="s">
        <v>142</v>
      </c>
      <c r="E21" s="44" t="s">
        <v>143</v>
      </c>
      <c r="F21" s="44" t="s">
        <v>144</v>
      </c>
    </row>
    <row r="22" customFormat="false" ht="25.5" hidden="false" customHeight="true" outlineLevel="0" collapsed="false"/>
    <row r="23" customFormat="false" ht="25.5" hidden="false" customHeight="true" outlineLevel="0" collapsed="false"/>
    <row r="24" customFormat="false" ht="25.5" hidden="false" customHeight="true" outlineLevel="0" collapsed="false"/>
    <row r="25" customFormat="false" ht="25.5" hidden="false" customHeight="true" outlineLevel="0" collapsed="false"/>
    <row r="26" customFormat="false" ht="25.5" hidden="false" customHeight="true" outlineLevel="0" collapsed="false"/>
  </sheetData>
  <mergeCells count="5">
    <mergeCell ref="A1:I1"/>
    <mergeCell ref="A2:I2"/>
    <mergeCell ref="B3:C3"/>
    <mergeCell ref="E3:F3"/>
    <mergeCell ref="H3:I3"/>
  </mergeCells>
  <conditionalFormatting sqref="F6:F26">
    <cfRule type="cellIs" priority="2" operator="equal" aboveAverage="0" equalAverage="0" bottom="0" percent="0" rank="0" text="" dxfId="0">
      <formula>"Green"</formula>
    </cfRule>
    <cfRule type="cellIs" priority="3" operator="equal" aboveAverage="0" equalAverage="0" bottom="0" percent="0" rank="0" text="" dxfId="3">
      <formula>"Amber"</formula>
    </cfRule>
    <cfRule type="cellIs" priority="4" operator="equal" aboveAverage="0" equalAverage="0" bottom="0" percent="0" rank="0" text="" dxfId="4">
      <formula>"Red"</formula>
    </cfRule>
  </conditionalFormatting>
  <dataValidations count="4">
    <dataValidation allowBlank="true" error="Pick a value from the list." errorStyle="stop" errorTitle="Choose from the list" operator="between" showDropDown="false" showErrorMessage="false" showInputMessage="false" sqref="B6:B26" type="list">
      <formula1>"BUILD,GROW,LAUNCH"</formula1>
      <formula2>0</formula2>
    </dataValidation>
    <dataValidation allowBlank="true" error="Pick a value from the list." errorStyle="stop" errorTitle="Choose from the list" operator="between" showDropDown="false" showErrorMessage="false" showInputMessage="false" sqref="C6:C26"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F6:F26" type="list">
      <formula1>"Green,Amber,Red"</formula1>
      <formula2>0</formula2>
    </dataValidation>
    <dataValidation allowBlank="true" error="Pick a value from the list." errorStyle="stop" errorTitle="Choose from the list" operator="between" showDropDown="false" showErrorMessage="false" showInputMessage="false" sqref="H6:H26" type="list">
      <formula1>"Achieved (move on),Revisit in class,Intervention"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2026-06-22T07:46:21Z</dcterms:created>
  <dc:creator>openpyxl</dc:creator>
  <dc:description/>
  <dc:language>en-US</dc:language>
  <cp:lastModifiedBy>Hanna Kemp</cp:lastModifiedBy>
  <dcterms:modified xsi:type="dcterms:W3CDTF">2026-07-15T11:04:51Z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0x0101002C6E38C4B2056147BFEE88C7F682B392</vt:lpwstr>
  </property>
  <property fmtid="{D5CDD505-2E9C-101B-9397-08002B2CF9AE}" pid="3" name="MediaServiceImageTags">
    <vt:lpwstr/>
  </property>
</Properties>
</file>