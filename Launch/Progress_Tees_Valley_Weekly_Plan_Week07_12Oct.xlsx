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<sst xmlns="http://schemas.openxmlformats.org/spreadsheetml/2006/main" count="169" uniqueCount="137">
  <si>
    <t xml:space="preserve">Weekly Planner - To be submitted to Head of School prior to the start of each Half-Term</t>
  </si>
  <si>
    <t xml:space="preserve">Progress Schools  ·  linked to the 2026/27 Schemes of Work</t>
  </si>
  <si>
    <t xml:space="preserve">Pathway</t>
  </si>
  <si>
    <t xml:space="preserve">LAUNCH</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</si>
  <si>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</si>
  <si>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</si>
  <si>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</si>
  <si>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</si>
  <si>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</si>
  <si>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</si>
  <si>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</si>
  <si>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</si>
  <si>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BHM continues; Harvest window (tbc) — assembly carries it (Launch PSHE is rights-at-work interviews this week).  Hate Crime Awareness Week — if this week, tie to the BV Rule of Law assembly.  EVIDENCE: EFL: community/citizenship → log in the SMSC Evidence Tracker.</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</si>
  <si>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</si>
  <si>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</si>
  <si>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</si>
  <si>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</si>
  <si>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</si>
  <si>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</si>
  <si>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</si>
  <si>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</si>
  <si>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</si>
  <si>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</si>
  <si>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</si>
  <si>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Paper 1 reading baseline: Q1-Q4 on unseen fiction. AO1, AO2, AO4.</t>
  </si>
  <si>
    <t xml:space="preserve">I can complete a Paper 1 reading baseline and show what I can do independently.</t>
  </si>
  <si>
    <t xml:space="preserve">Low-threat starter and exam routine recap → remind students of Q1-Q4 order and timings → complete adapted or full reading baseline → confidence check after each question → teacher/TA collect evidence for tracker and intervention grouping.</t>
  </si>
  <si>
    <t xml:space="preserve">baseline, question, timing, evidence, language, structure, evaluate, confidence</t>
  </si>
  <si>
    <t xml:space="preserve">AQA-style Paper 1 reading baseline; timer; question breakdown sheet; coloured paper/overlays; reading pens; confidence tracker.</t>
  </si>
  <si>
    <t xml:space="preserve">S</t>
  </si>
  <si>
    <t xml:space="preserve">Access arrangements as appropriate; rest breaks; chunked timings; reduced extract for access where needed; prompts for task initiation only; scribe/reader where agreed.</t>
  </si>
  <si>
    <t xml:space="preserve">TA supports agreed access arrangements and regulation but does not lead answers. Teacher records independent evidence for tracker.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</si>
  <si>
    <t xml:space="preserve">To complete after marking: update 8700 tracker, identify Q focus for each student and note intervention priorities.  → Influence: shapes the next instruction and the mock-exam plan; feeds the EHCP/PfA target at review [NS].</t>
  </si>
  <si>
    <t xml:space="preserve">Maths</t>
  </si>
  <si>
    <t xml:space="preserve">Numeracy, Money &amp; Financial Capability</t>
  </si>
  <si>
    <t xml:space="preserve">I can demonstrate my understanding of number and money skills when solving a range of everyday mathematical problems.</t>
  </si>
  <si>
    <t xml:space="preserve">Complete a Number and Money assessment covering key topics taught.
Answer questions involving calculations with money, budgeting and financial literacy.
Solve problems involving percentages, wages, payslips and deductions.
Apply number skills to real-life scenarios and financial situations.
Check answers and reflect on strengths and areas for improvement.
Identify targets for future learning based on assessment outcomes.
Evidence beyond the paper: a money-skills station circuit photographed for the portfolio, with live feedback at every station — the written check sits alongside the practical evidence, not instead of it.</t>
  </si>
  <si>
    <t xml:space="preserve">Number
Money
Assessment
Calculation
Budget
Cost
Price
Percentage
Wage
Payslip
Deduction
Tax
Income
Expenditure
Profit
Loss
Total
Change
Accuracy
Target</t>
  </si>
  <si>
    <t xml:space="preserve">Assessment papers
Calculators
Pencils and rulers
Formula and vocabulary mats (where appropriate)
Sample financial documents (e.g. payslips, receipts, bills)
Whiteboards and pens
Interactive whiteboard resources
Reflection and target-setting sheets</t>
  </si>
  <si>
    <t xml:space="preserve">F</t>
  </si>
  <si>
    <t xml:space="preserve">Provide additional reading support where required.
Allow extra time to complete assessment tasks if appropriate.
Use simplified language or visual prompts to aid understanding.
Permit the use of calculators where appropriate.
Break assessments into smaller sections to support concentration.
Offer adult support to clarify instructions and reduce anxiety.
Support pupils in identifying realistic next-step targets.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</si>
  <si>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explanation of assessment expectations and success criteria.
A calm and supportive environment that promotes confidence.
Targeted adult support for accessing assessment materials.
Encouragement of independent problem-solving and perseverance.
Positive reinforcement throughout the assessment process.
Opportunities for reflection and discussion following completion.
Ongoing assessment analysis to inform future planning and intervention.
LOOP [Feedback Policy]: Voice = mini-whiteboard show-me / worked re-do [VF, I] → Audience: mark against the method, one [NS]; [R] on an accurate re-do → EVIDENCE: station photo + book (payslips/ratio), same day [E: numeracy/PfA — counts toward the 3-piece weekly minimum].</t>
  </si>
  <si>
    <t xml:space="preserve">Influence: the grade-push skill identified shapes the next lesson and the December summative plan [NS].</t>
  </si>
  <si>
    <t xml:space="preserve">Science</t>
  </si>
  <si>
    <t xml:space="preserve">Edexcel GCSE Biology 1BI0 (F), Topic 1: food tests — CORE PRACTICAL (1.13B, Biology only) · Paper 1 · SoW Aut1·W7  [NEW]</t>
  </si>
  <si>
    <t xml:space="preserve">I can plan and carry out the food tests safely and say what each colour change shows.</t>
  </si>
  <si>
    <t xml:space="preserve">SLOT 1 — plan &amp; risk assess [WRE Step 3]: Pearson's guide expects students to PLAN this one — so we write the method, choose the equipment and risk-assess it, not just follow a sheet. I DO: model one method (iodine). WE DO: agree the risk assessment — hot water (80 °C), food allergies, chemical burns. YOU DO: write the method for Benedict's.  SLOT 2 — run it: iodine → starch (brown → blue/black) · Benedict's → reducing sugar, 80 °C water bath (blue → green/yellow → brick-red = how MUCH) · Biuret → protein (blue → purple/lilac) · ethanol → lipid (clear → cloudy white emulsion). Known solutions A/B/C (glucose, albumin, starch) run alongside unknown foods so a positive result is always visible.  SLOT 3 — conclude: results table → identify the unknown foods → write the conclusion with evidence.  EXIT: 'I know sample B contains … because …'  EXAM STRETCH: why can Biuret give a false read on a coloured food? why does an unheated Benedict's give a false negative? — the two classic error questions.  FADE &amp; COMMAND WORD: method is WRITTEN by pupils this week (fade complete for procedure). Command words: DESCRIBE the method · EXPLAIN the result.</t>
  </si>
  <si>
    <t xml:space="preserve">Benedict's reagent, reducing sugar, iodine, starch, Biuret, protein, ethanol, lipid, emulsion, positive, negative, reagent, risk assessment</t>
  </si>
  <si>
    <t xml:space="preserve">NO BUNSEN NEEDED — kettle + beaker holds 80 °C for Benedict's; check reagents ordered NOW (Benedict's, Biuret, iodine, ethanol). Spotting tiles, pipettes, test tubes, boiling tubes, pestle &amp; mortar, food samples, known solutions A/B/C, waste bowl, goggles; method-writing frame; risk-assessment grid; results table; ALLERGY CHECK before food samples are chosen.</t>
  </si>
  <si>
    <t xml:space="preserve">Colour change is the great leveller — every pupil gets an unambiguous result regardless of literacy. Method writing is tiered (sequence the steps → gap-fill → write from scratch). Pupil A reads to self with discreet checks; Pupil B writes both methods from scratch; Pupil C: never on the spot; give him the known-solutions station so a 'wrong' result is impossible; clear success criteria; challenge on, pressure off when confidence dips.</t>
  </si>
  <si>
    <t xml:space="preserve">TA runs the 80 °C station and owns the kettle — no pupil pours. Teacher checks every risk assessment before any reagent is opened. Allergy status confirmed with the office before food samples are selected — this is the safeguarding step, not a formality.  LOOP [Feedback Policy]: Voice = written method / risk assessment / results table / conclusion [//, NS, I] → Audience: mark against the mark scheme, name the improvement before [R]; deferred response 10–15 min next lesson → EVIDENCE: coded, redrafted method + results table + photo of the colour range [E: science — banks a MANDATORY CP for 1BI0].</t>
  </si>
  <si>
    <t xml:space="preserve">Note who writes a method another person could actually follow — that is the assessed skill here, not the colours.  → Influence: the method-writing standard set here is the entry requirement for W8's plan; weak methods = re-scaffold W8 Slot 1 [NS]. CP banked — record on the core-practical tracker. NOTE: this CP is required for GCSE Biology 1BI0 and NOT for Combined Science — confirm entry route before relying on it.</t>
  </si>
  <si>
    <t xml:space="preserve">PSHE / RSE</t>
  </si>
  <si>
    <t xml:space="preserve">Identity, relationships &amp; rights in adult life · PSHE Association SEND framework · AQA UAS 'Healthy relationships' · SoW Aut1·W7</t>
  </si>
  <si>
    <t xml:space="preserve">I can explain my basic rights at work and act professionally in a mock scenario.</t>
  </si>
  <si>
    <t xml:space="preserve">Rights-at-work quiz with instant reveals (minimum wage by age, breaks, payslips — links this week's Maths payslip work) → 'first day at work' scenario circuit: greeting, asking for help, running late — what do you do? → mock micro-interview with the Head of School, 30 seconds each: one strength + one interest, recorded — pitched at each pupil's real next step (Hartlepool College lighting for Pupil A, Riverside College for Pupil B, barbering/construction for Pupil C).  EVIDENCE: recorded interviews + circuit photos (AQA UAS).  STRETCH: what would an employment contract actually say?</t>
  </si>
  <si>
    <t xml:space="preserve">rights, wage, contract, professional, interview, employer</t>
  </si>
  <si>
    <t xml:space="preserve">Rights-quiz cards; scenario circuit stations; HoS booked for interviews; recorder/camera; links Maths W5–W7 money work.</t>
  </si>
  <si>
    <t xml:space="preserve">Interview questions shared in advance — no surprises; a TA-supported or re-recorded take always allowed.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</si>
  <si>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rehearses each pupil before their interview; HoS gives one strength + one tip as live feedback; recordings feed both AQA UAS and PfA evidence.
LOOP [Feedback Policy]: Voice = recorded micro-interview / script-flip / portfolio piece [VF] → Audience: listen fully, name one strength + one [NS] before tagging; then [R] → EVIDENCE: recording/portfolio to EFL, same day [E: PfA/careers/transition — weekly PfA minimum].</t>
  </si>
  <si>
    <t xml:space="preserve">Influence: feeds each pupil's real destination (college/barbering) → PfA plan and IEDP Outcome 5 [NS].</t>
  </si>
  <si>
    <t xml:space="preserve">RE</t>
  </si>
  <si>
    <t xml:space="preserve">Belief, Identity &amp; Belonging</t>
  </si>
  <si>
    <t xml:space="preserve">I can demonstrate my understanding of belief and identity by applying my knowledge to a range of religious and ethical questions.</t>
  </si>
  <si>
    <t xml:space="preserve">Assessment without the dread — a three-station round-robin: one written 'explain' question at the desk (starters available) · one artefact-identification station (name it, place it, say what it guides) · one recorded 'apply your knowledge' scenario answer → finish with a 1:1 where strengths and one next step are agreed and written on a target card for Week 8.  EVIDENCE: all three stations photographed/recorded — a fuller picture than one paper (AQA UAS).</t>
  </si>
  <si>
    <t xml:space="preserve">Belief, Identity, Worldview, Faith, Religion, Values, Culture, Tradition, Community, Belonging, Diversity, Influence, Respect, Ethics, Perspective, Assessment, Reflection </t>
  </si>
  <si>
    <t xml:space="preserve">Station cards; artefact set; recorder; target cards; sentence starters at the written desk.</t>
  </si>
  <si>
    <t xml:space="preserve">Three short stations beat one long paper for focus and regulation; the recorded station lets verbal knowledge count fully.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</si>
  <si>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runs the artefact station; teacher does the 1:1 target conversations — live, specific feedback each pupil carries into W8.
LOOP [Feedback Policy]: Voice = P-E-E paragraph + spoken viva; green-pen upgrade [//, NS, ?] → Audience: mark against the RS scheme and name the improvement; deferred response for the write; [R] after the upgrade is received → EVIDENCE: paragraph + before/after photo + viva clip [E: RE].</t>
  </si>
  <si>
    <t xml:space="preserve">Influence: the command-word skill shapes the next exam-style question and the December summative [NS].</t>
  </si>
  <si>
    <t xml:space="preserve">Humanities</t>
  </si>
  <si>
    <t xml:space="preserve">NC KS3/4 History — source-based assessment (identity &amp; belonging in modern Britain). Banks toward the October structured-account summative.</t>
  </si>
  <si>
    <t xml:space="preserve">I can complete a source-based assessment about identity and belonging in modern Britain.</t>
  </si>
  <si>
    <t xml:space="preserve">Arrival task: recap the N.O.P. usefulness check in one line → model answering a 'how useful' question against the criteria → we do: plan the opening sentence together → you do: complete the source assessment using the grid and stems from earlier weeks → exit: check the answer against the success criteria.  FADE &amp; ASSESSMENT: support steps DOWN — the grid/stems are AVAILABLE but the aim is an independent 'how useful' answer.  Pupil B: frame on the desk (no need to ask), 'start with the N/O/P box you can do' entry, quiet check-in.  Pupil C: model 'how useful' answer + success criteria given first, framed as practice.  MARK-SCHEME DRILL: mark a model 'how useful' answer against the criteria before writing — pupils highlight point / evidence / limitation, then aim to hit all three; Pupil C marks the model first.</t>
  </si>
  <si>
    <t xml:space="preserve">source, useful, nature, origin, purpose, evidence, identity, belonging, migration, judgement</t>
  </si>
  <si>
    <t xml:space="preserve">Source assessment paper (curated sources from Weeks 3-6); usefulness grid; success-criteria checklist; sentence stems; magenta copies.</t>
  </si>
  <si>
    <t xml:space="preserve">S (assessed account)</t>
  </si>
  <si>
    <t xml:space="preserve">Familiar sources &amp; grid — no surprises lowers assessment anxiety (key for Pupil B). Stems and checklist permitted; Pupil A works independently to self; extended-time/quiet-space option; verbal-to-scribe where needed.
Pupil C: never on the spot or publicly corrected; calm, quiet encouragement; clear success criteria and model examples; challenge on, pressure off when confidence dips.</t>
  </si>
  <si>
    <t xml:space="preserve">TA available for reading only; teacher briefs the task calmly with no time-pressure language; mark against shared criteria with forward-looking feedback.
LOOP [Feedback Policy]: Voice = source-based edit / structured account [//, NS] → Audience: read against the criteria and name the change; deferred for the account; then [R] → EVIDENCE: coded book + enrichment photos [E: humanities].</t>
  </si>
  <si>
    <t xml:space="preserve">Record who evaluates usefulness vs describes; compare against the Week 3 baseline to evidence progress.  → Influence: assessment technique shapes the next enquiry's scaffold [NS].</t>
  </si>
  <si>
    <t xml:space="preserve">Arts (Arts Award)</t>
  </si>
  <si>
    <t xml:space="preserve">Trinity Arts Award, Unit 1 Part D — begin a critical review of the arts experience.</t>
  </si>
  <si>
    <t xml:space="preserve">I can begin a written or recorded review of the arts event, saying what I thought and why.</t>
  </si>
  <si>
    <t xml:space="preserve">Arrival task: 'star or wish?' — one line you liked, one you'd change about the experience → model a review opening (what/where + first impression) → we do: draft the opening two sentences together → you do: begin your review using the frame (what it was / what you thought / why) → exit: read back one sentence to the TA.</t>
  </si>
  <si>
    <t xml:space="preserve">review, opinion, evidence, impression, describe, evaluate, because, recommend, arts log</t>
  </si>
  <si>
    <t xml:space="preserve">Review writing/recording frame; the earlier response log as source material; sentence stems; magenta copies; audio-record option; device.</t>
  </si>
  <si>
    <t xml:space="preserve">F (completed in Aut2·W1)</t>
  </si>
  <si>
    <t xml:space="preserve">Audio-record option removes the writing barrier entirely (strong for Pupil A's dyslexia). Pupil B drafts independently with a frame; stems + word bank; opinion valued over length; no reading aloud to the room.
Pupil C: never on the spot or publicly corrected; calm, quiet encouragement; clear success criteria and model examples; challenge on, pressure off when confidence dips.</t>
  </si>
  <si>
    <t xml:space="preserve">TA scribes/records on request; teacher models opinion + reason. Review banks Arts Award Unit 1 Part D evidence.
LOOP [Feedback Policy]: Voice = make + written/recorded arts review + reflection [VF, //] → Audience: engage with the review against the Award criteria, one [NS]; listen fully before tagging; then [R] → EVIDENCE: Arts Award Silver portfolio = the accreditation evidence [E: Arts Award] — live/deferred.</t>
  </si>
  <si>
    <t xml:space="preserve">Note who gives a reasoned opinion vs a description; check each pupil has a started, dated review.  → Influence: the portfolio builds toward Silver → accreditation next step at moderation [NS].</t>
  </si>
  <si>
    <t xml:space="preserve">PE</t>
  </si>
  <si>
    <t xml:space="preserve">Careers / Vocational (ASDAN)</t>
  </si>
  <si>
    <t xml:space="preserve">
Looking after myself &amp; my home</t>
  </si>
  <si>
    <t xml:space="preserve">I can reflect on my learning and collect evidence that shows my independent living skills.</t>
  </si>
  <si>
    <t xml:space="preserve">Review learning from previous sessions.
Complete a confidence self-assessment.
Organise worksheets, photographs and evidence into a portfolio.
Set a future independence goal.</t>
  </si>
  <si>
    <t xml:space="preserve">Evidence
Reflection
Achievement
Goal
Independence
Portfolio</t>
  </si>
  <si>
    <t xml:space="preserve">Portfolio folder
Self-assessment sheet
Previous work and evidence
Goal-setting template</t>
  </si>
  <si>
    <t xml:space="preserve">Use visual confidence scales.
Accept verbal reflections.
Provide adult support with organising evidence.
Extension: Write a personal statement describing independent living strengths.</t>
  </si>
  <si>
    <t xml:space="preserve">Provide sentence starters for reflection.
Support students to identify strengths and achievements.
Model how to organise evidence effectively.
Facilitate positive discussions about progress.
Encourage realistic and achievable goal setting.</t>
  </si>
  <si>
    <t xml:space="preserve">Enrichment &amp; wider opportunities this week   (trips, visitors, themed days, SMSC calendar link, PfA / community)</t>
  </si>
  <si>
    <t xml:space="preserve">Resources &amp; support to prepare before the week   (printing, kit, bookings, briefing the team)</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</si>
  <si>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</si>
  <si>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</si>
  <si>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</si>
  <si>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</si>
  <si>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</si>
  <si>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</si>
  <si>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</si>
  <si>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</si>
  <si>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</si>
  <si>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</si>
  <si>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</si>
  <si>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</si>
  <si>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</si>
  <si>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</si>
  <si>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</si>
  <si>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</si>
  <si>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</si>
  <si>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</si>
  <si>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</si>
  <si>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</si>
  <si>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</si>
  <si>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</si>
  <si>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</si>
  <si>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</si>
  <si>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</si>
  <si>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</si>
  <si>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</si>
  <si>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</si>
  <si>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</si>
  <si>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Paper 1 reading baseline completed for Q1-Q4; strengths and next steps identified.</t>
  </si>
  <si>
    <t xml:space="preserve">I can explain active transport and how it is different from diffusion.</t>
  </si>
  <si>
    <t xml:space="preserve">Personal Development / PfA</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</si>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</sst>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4">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0"/>
      <charset val="1"/>
    </font>
    <font>
      <b val="true"/>
      <sz val="9"/>
      <color rgb="FFFFFFFF"/>
      <name val="Arial"/>
      <family val="2"/>
      <charset val="1"/>
    </font>
    <font>
      <b val="true"/>
      <sz val="9"/>
      <color rgb="FF1B2420"/>
      <name val="Arial"/>
      <family val="2"/>
      <charset val="1"/>
    </font>
    <font>
      <sz val="10"/>
      <color rgb="FF000000"/>
      <name val="Calibri"/>
      <family val="2"/>
      <charset val="1"/>
    </font>
    <font>
      <sz val="9"/>
      <color rgb="FF1B2420"/>
      <name val="Arial"/>
      <family val="2"/>
      <charset val="1"/>
    </font>
    <font>
      <sz val="9"/>
      <color theme="1"/>
      <name val="Arial"/>
      <family val="2"/>
      <charset val="1"/>
    </font>
    <font>
      <sz val="8"/>
      <color rgb="FF566159"/>
      <name val="Arial"/>
      <family val="2"/>
      <charset val="1"/>
    </font>
    <font>
      <i val="true"/>
      <sz val="8"/>
      <color rgb="FF566159"/>
      <name val="Arial"/>
      <family val="2"/>
      <charset val="1"/>
    </font>
    <font>
      <b val="true"/>
      <sz val="16"/>
      <color rgb="FFFFFFFF"/>
      <name val="Arial"/>
      <family val="2"/>
      <charset val="1"/>
    </font>
    <font>
      <sz val="9"/>
      <color rgb="FF1F2A44"/>
      <name val="Open Sans"/>
      <family val="0"/>
      <charset val="1"/>
    </font>
    <font>
      <sz val="9"/>
      <color theme="1"/>
      <name val="Arial"/>
      <family val="0"/>
      <charset val="1"/>
    </font>
    <font>
      <sz val="10"/>
      <name val="Arial"/>
      <family val="2"/>
      <charset val="1"/>
    </font>
    <font>
      <sz val="9"/>
      <name val="Arial"/>
      <family val="2"/>
      <charset val="1"/>
    </font>
    <font>
      <b val="true"/>
      <sz val="9"/>
      <color theme="1"/>
      <name val="Arial"/>
      <family val="2"/>
      <charset val="1"/>
    </font>
    <font>
      <b val="true"/>
      <sz val="10"/>
      <color rgb="FFFFFFFF"/>
      <name val="Arial"/>
      <family val="2"/>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8">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color rgb="FFC3CDC1"/>
      </left>
      <right style="thin">
        <color rgb="FFC3CDC1"/>
      </right>
      <top style="thin">
        <color rgb="FFC3CDC1"/>
      </top>
      <bottom/>
      <diagonal/>
    </border>
    <border diagonalUp="false" diagonalDown="false">
      <left style="thin">
        <color rgb="FFC3CDC1"/>
      </left>
      <right/>
      <top style="thin">
        <color rgb="FFC3CDC1"/>
      </top>
      <bottom style="thin">
        <color rgb="FFC3CDC1"/>
      </bottom>
      <diagonal/>
    </border>
    <border diagonalUp="false" diagonalDown="false">
      <left style="thin"/>
      <right style="thin"/>
      <top style="thin"/>
      <bottom style="thin"/>
      <diagonal/>
    </border>
    <border diagonalUp="false" diagonalDown="false">
      <left style="thin">
        <color rgb="FFC3CDC1"/>
      </left>
      <right style="thin">
        <color rgb="FFC3CDC1"/>
      </right>
      <top/>
      <bottom style="thin">
        <color rgb="FFC3CD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0" fillId="2" borderId="4" xfId="0" applyFont="true" applyBorder="true" applyAlignment="true" applyProtection="false">
      <alignment horizontal="center" vertical="center" textRotation="0" wrapText="true" indent="0" shrinkToFit="false"/>
      <protection locked="true" hidden="false"/>
    </xf>
    <xf numFmtId="164" fontId="11" fillId="5" borderId="5"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5" borderId="6"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3" fillId="6" borderId="7" xfId="0" applyFont="true" applyBorder="true" applyAlignment="true" applyProtection="false">
      <alignment horizontal="left" vertical="center" textRotation="0" wrapText="true" indent="0" shrinkToFit="false"/>
      <protection locked="true" hidden="false"/>
    </xf>
    <xf numFmtId="164" fontId="14" fillId="6" borderId="7" xfId="0" applyFont="true" applyBorder="true" applyAlignment="true" applyProtection="false">
      <alignment horizontal="left"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general" vertical="top" textRotation="0" wrapText="true" indent="0" shrinkToFit="false"/>
      <protection locked="true" hidden="false"/>
    </xf>
    <xf numFmtId="164" fontId="15" fillId="6" borderId="3"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true" applyAlignment="true" applyProtection="false">
      <alignment horizontal="left" vertical="center" textRotation="0" wrapText="false" indent="0" shrinkToFit="false"/>
      <protection locked="true" hidden="false"/>
    </xf>
    <xf numFmtId="166" fontId="13" fillId="5" borderId="3" xfId="0" applyFont="true" applyBorder="tru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6" fontId="13" fillId="5" borderId="5" xfId="0" applyFont="true" applyBorder="true" applyAlignment="true" applyProtection="false">
      <alignment horizontal="left" vertical="center" textRotation="0" wrapText="true" indent="0" shrinkToFit="false"/>
      <protection locked="true" hidden="false"/>
    </xf>
    <xf numFmtId="164" fontId="19" fillId="0" borderId="6" xfId="0" applyFont="true" applyBorder="true" applyAlignment="true" applyProtection="false">
      <alignment horizontal="general"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0"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center" vertical="center" textRotation="0" wrapText="true" indent="0" shrinkToFit="false"/>
      <protection locked="true" hidden="false"/>
    </xf>
    <xf numFmtId="164" fontId="22" fillId="0" borderId="3" xfId="0" applyFont="true" applyBorder="true" applyAlignment="true" applyProtection="false">
      <alignment horizontal="center"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3" fillId="7" borderId="0" xfId="0" applyFont="true" applyBorder="false" applyAlignment="true" applyProtection="false">
      <alignment horizontal="center" vertical="center" textRotation="0" wrapText="false" indent="0" shrinkToFit="false"/>
      <protection locked="true" hidden="false"/>
    </xf>
    <xf numFmtId="167" fontId="23" fillId="8" borderId="0" xfId="0" applyFont="true" applyBorder="false" applyAlignment="true" applyProtection="false">
      <alignment horizontal="center" vertical="center" textRotation="0" wrapText="false" indent="0" shrinkToFit="false"/>
      <protection locked="true" hidden="false"/>
    </xf>
    <xf numFmtId="167" fontId="23" fillId="9"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86" zoomScaleNormal="86" zoomScalePageLayoutView="100" workbookViewId="0">
      <pane xSplit="0" ySplit="9" topLeftCell="A17" activePane="bottomLeft" state="frozen"/>
      <selection pane="topLeft" activeCell="A1" activeCellId="0" sqref="A1"/>
      <selection pane="bottomLeft" activeCell="B18" activeCellId="0" sqref="B18"/>
    </sheetView>
  </sheetViews>
  <sheetFormatPr defaultColWidth="8.56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7</v>
      </c>
      <c r="F4" s="4" t="s">
        <v>4</v>
      </c>
      <c r="G4" s="5" t="n">
        <v>7</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46307</v>
      </c>
      <c r="F7" s="4" t="s">
        <v>11</v>
      </c>
      <c r="G7" s="5"/>
    </row>
    <row r="8" customFormat="false" ht="45.75" hidden="false" customHeight="true" outlineLevel="0" collapsed="false">
      <c r="A8" s="8" t="s">
        <v>12</v>
      </c>
      <c r="B8" s="8"/>
      <c r="C8" s="8"/>
      <c r="D8" s="8"/>
      <c r="E8" s="8"/>
      <c r="F8" s="8"/>
      <c r="G8" s="8"/>
      <c r="H8" s="8"/>
      <c r="I8" s="8"/>
      <c r="J8" s="8"/>
    </row>
    <row r="9" customFormat="false" ht="30" hidden="false" customHeight="true" outlineLevel="0" collapsed="false">
      <c r="A9" s="9" t="s">
        <v>13</v>
      </c>
      <c r="B9" s="10" t="s">
        <v>14</v>
      </c>
      <c r="C9" s="10" t="s">
        <v>15</v>
      </c>
      <c r="D9" s="10" t="s">
        <v>16</v>
      </c>
      <c r="E9" s="10" t="s">
        <v>17</v>
      </c>
      <c r="F9" s="10" t="s">
        <v>18</v>
      </c>
      <c r="G9" s="10" t="s">
        <v>19</v>
      </c>
      <c r="H9" s="10" t="s">
        <v>20</v>
      </c>
      <c r="I9" s="10" t="s">
        <v>21</v>
      </c>
      <c r="J9" s="10" t="s">
        <v>22</v>
      </c>
    </row>
    <row r="10" customFormat="false" ht="330" hidden="false" customHeight="true" outlineLevel="0" collapsed="false">
      <c r="A10" s="11" t="s">
        <v>23</v>
      </c>
      <c r="B10" s="12" t="s">
        <v>24</v>
      </c>
      <c r="C10" s="12" t="s">
        <v>25</v>
      </c>
      <c r="D10" s="12" t="s">
        <v>26</v>
      </c>
      <c r="E10" s="12" t="s">
        <v>27</v>
      </c>
      <c r="F10" s="12" t="s">
        <v>28</v>
      </c>
      <c r="G10" s="13" t="s">
        <v>29</v>
      </c>
      <c r="H10" s="12" t="s">
        <v>30</v>
      </c>
      <c r="I10" s="12" t="s">
        <v>31</v>
      </c>
      <c r="J10" s="12" t="s">
        <v>32</v>
      </c>
    </row>
    <row r="11" customFormat="false" ht="330" hidden="false" customHeight="true" outlineLevel="0" collapsed="false">
      <c r="A11" s="14" t="s">
        <v>33</v>
      </c>
      <c r="B11" s="15" t="s">
        <v>34</v>
      </c>
      <c r="C11" s="16" t="s">
        <v>35</v>
      </c>
      <c r="D11" s="15" t="s">
        <v>36</v>
      </c>
      <c r="E11" s="15" t="s">
        <v>37</v>
      </c>
      <c r="F11" s="15" t="s">
        <v>38</v>
      </c>
      <c r="G11" s="15" t="s">
        <v>39</v>
      </c>
      <c r="H11" s="15" t="s">
        <v>40</v>
      </c>
      <c r="I11" s="15" t="s">
        <v>41</v>
      </c>
      <c r="J11" s="15" t="s">
        <v>42</v>
      </c>
    </row>
    <row r="12" customFormat="false" ht="360" hidden="false" customHeight="true" outlineLevel="0" collapsed="false">
      <c r="A12" s="17" t="s">
        <v>43</v>
      </c>
      <c r="B12" s="18" t="s">
        <v>44</v>
      </c>
      <c r="C12" s="18" t="s">
        <v>45</v>
      </c>
      <c r="D12" s="18" t="s">
        <v>46</v>
      </c>
      <c r="E12" s="18" t="s">
        <v>47</v>
      </c>
      <c r="F12" s="18" t="s">
        <v>48</v>
      </c>
      <c r="G12" s="18" t="s">
        <v>29</v>
      </c>
      <c r="H12" s="18" t="s">
        <v>49</v>
      </c>
      <c r="I12" s="18" t="s">
        <v>50</v>
      </c>
      <c r="J12" s="18" t="s">
        <v>51</v>
      </c>
    </row>
    <row r="13" customFormat="false" ht="330" hidden="false" customHeight="true" outlineLevel="0" collapsed="false">
      <c r="A13" s="14" t="s">
        <v>52</v>
      </c>
      <c r="B13" s="19" t="s">
        <v>53</v>
      </c>
      <c r="C13" s="19" t="s">
        <v>54</v>
      </c>
      <c r="D13" s="19" t="s">
        <v>55</v>
      </c>
      <c r="E13" s="19" t="s">
        <v>56</v>
      </c>
      <c r="F13" s="19" t="s">
        <v>57</v>
      </c>
      <c r="G13" s="19" t="s">
        <v>39</v>
      </c>
      <c r="H13" s="19" t="s">
        <v>58</v>
      </c>
      <c r="I13" s="19" t="s">
        <v>59</v>
      </c>
      <c r="J13" s="19" t="s">
        <v>60</v>
      </c>
    </row>
    <row r="14" customFormat="false" ht="330" hidden="false" customHeight="true" outlineLevel="0" collapsed="false">
      <c r="A14" s="17" t="s">
        <v>61</v>
      </c>
      <c r="B14" s="18" t="s">
        <v>62</v>
      </c>
      <c r="C14" s="18" t="s">
        <v>63</v>
      </c>
      <c r="D14" s="18" t="s">
        <v>64</v>
      </c>
      <c r="E14" s="18" t="s">
        <v>65</v>
      </c>
      <c r="F14" s="18" t="s">
        <v>66</v>
      </c>
      <c r="G14" s="18" t="s">
        <v>39</v>
      </c>
      <c r="H14" s="18" t="s">
        <v>67</v>
      </c>
      <c r="I14" s="18" t="s">
        <v>68</v>
      </c>
      <c r="J14" s="18" t="s">
        <v>69</v>
      </c>
    </row>
    <row r="15" customFormat="false" ht="360" hidden="false" customHeight="true" outlineLevel="0" collapsed="false">
      <c r="A15" s="14" t="s">
        <v>70</v>
      </c>
      <c r="B15" s="18" t="s">
        <v>71</v>
      </c>
      <c r="C15" s="18" t="s">
        <v>72</v>
      </c>
      <c r="D15" s="18" t="s">
        <v>73</v>
      </c>
      <c r="E15" s="18" t="s">
        <v>74</v>
      </c>
      <c r="F15" s="18" t="s">
        <v>75</v>
      </c>
      <c r="G15" s="18" t="s">
        <v>76</v>
      </c>
      <c r="H15" s="18" t="s">
        <v>77</v>
      </c>
      <c r="I15" s="18" t="s">
        <v>78</v>
      </c>
      <c r="J15" s="18" t="s">
        <v>79</v>
      </c>
    </row>
    <row r="16" customFormat="false" ht="330" hidden="false" customHeight="true" outlineLevel="0" collapsed="false">
      <c r="A16" s="20" t="s">
        <v>80</v>
      </c>
      <c r="B16" s="18" t="s">
        <v>81</v>
      </c>
      <c r="C16" s="18" t="s">
        <v>82</v>
      </c>
      <c r="D16" s="18" t="s">
        <v>83</v>
      </c>
      <c r="E16" s="18" t="s">
        <v>84</v>
      </c>
      <c r="F16" s="18" t="s">
        <v>85</v>
      </c>
      <c r="G16" s="18" t="s">
        <v>86</v>
      </c>
      <c r="H16" s="18" t="s">
        <v>87</v>
      </c>
      <c r="I16" s="18" t="s">
        <v>88</v>
      </c>
      <c r="J16" s="18" t="s">
        <v>89</v>
      </c>
    </row>
    <row r="17" customFormat="false" ht="45.75" hidden="false" customHeight="true" outlineLevel="0" collapsed="false">
      <c r="A17" s="14" t="s">
        <v>90</v>
      </c>
      <c r="B17" s="19"/>
      <c r="C17" s="19"/>
      <c r="D17" s="19"/>
      <c r="E17" s="19"/>
      <c r="F17" s="19"/>
      <c r="G17" s="19"/>
      <c r="H17" s="19"/>
      <c r="I17" s="19"/>
      <c r="J17" s="19"/>
    </row>
    <row r="18" customFormat="false" ht="45.75" hidden="false" customHeight="true" outlineLevel="0" collapsed="false">
      <c r="A18" s="17" t="s">
        <v>91</v>
      </c>
      <c r="B18" s="18" t="s">
        <v>92</v>
      </c>
      <c r="C18" s="18" t="s">
        <v>93</v>
      </c>
      <c r="D18" s="18" t="s">
        <v>94</v>
      </c>
      <c r="E18" s="18" t="s">
        <v>95</v>
      </c>
      <c r="F18" s="18" t="s">
        <v>96</v>
      </c>
      <c r="G18" s="18"/>
      <c r="H18" s="18" t="s">
        <v>97</v>
      </c>
      <c r="I18" s="18" t="s">
        <v>98</v>
      </c>
      <c r="J18" s="18"/>
    </row>
    <row r="20" customFormat="false" ht="18" hidden="false" customHeight="true" outlineLevel="0" collapsed="false">
      <c r="A20" s="21" t="s">
        <v>99</v>
      </c>
      <c r="B20" s="21"/>
      <c r="C20" s="21"/>
      <c r="D20" s="21"/>
      <c r="E20" s="21"/>
      <c r="F20" s="21"/>
      <c r="G20" s="21"/>
      <c r="H20" s="21"/>
      <c r="I20" s="21"/>
      <c r="J20" s="21"/>
    </row>
    <row r="21" customFormat="false" ht="117.75" hidden="false" customHeight="true" outlineLevel="0" collapsed="false">
      <c r="A21" s="22"/>
      <c r="B21" s="22"/>
      <c r="C21" s="22"/>
      <c r="D21" s="22"/>
      <c r="E21" s="22"/>
      <c r="F21" s="22"/>
      <c r="G21" s="22"/>
      <c r="H21" s="22"/>
      <c r="I21" s="22"/>
      <c r="J21" s="22"/>
    </row>
    <row r="22" customFormat="false" ht="18" hidden="false" customHeight="true" outlineLevel="0" collapsed="false">
      <c r="A22" s="21" t="s">
        <v>100</v>
      </c>
      <c r="B22" s="21"/>
      <c r="C22" s="21"/>
      <c r="D22" s="21"/>
      <c r="E22" s="21"/>
      <c r="F22" s="21"/>
      <c r="G22" s="21"/>
      <c r="H22" s="21"/>
      <c r="I22" s="21"/>
      <c r="J22" s="21"/>
    </row>
    <row r="23" customFormat="false" ht="147.75" hidden="false" customHeight="true" outlineLevel="0" collapsed="false">
      <c r="A23" s="23"/>
      <c r="B23" s="23"/>
      <c r="C23" s="23"/>
      <c r="D23" s="23"/>
      <c r="E23" s="23"/>
      <c r="F23" s="23"/>
      <c r="G23" s="23"/>
      <c r="H23" s="23"/>
      <c r="I23" s="23"/>
      <c r="J23" s="23"/>
    </row>
    <row r="24" customFormat="false" ht="14.25" hidden="false" customHeight="true" outlineLevel="0" collapsed="false">
      <c r="A24" s="24" t="s">
        <v>101</v>
      </c>
      <c r="B24" s="24"/>
      <c r="C24" s="24"/>
      <c r="D24" s="24"/>
      <c r="E24" s="24"/>
      <c r="F24" s="24"/>
      <c r="G24" s="24"/>
      <c r="H24" s="24"/>
      <c r="I24" s="24"/>
      <c r="J24" s="24"/>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7" activeCellId="0" sqref="A7"/>
    </sheetView>
  </sheetViews>
  <sheetFormatPr defaultColWidth="8.5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5" t="s">
        <v>102</v>
      </c>
      <c r="B1" s="25"/>
      <c r="C1" s="25"/>
      <c r="D1" s="25"/>
      <c r="E1" s="25"/>
      <c r="F1" s="25"/>
      <c r="G1" s="25"/>
      <c r="H1" s="25"/>
      <c r="I1" s="25"/>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103</v>
      </c>
      <c r="B4" s="9" t="s">
        <v>2</v>
      </c>
      <c r="C4" s="9" t="s">
        <v>104</v>
      </c>
      <c r="D4" s="9" t="s">
        <v>105</v>
      </c>
      <c r="E4" s="9" t="s">
        <v>106</v>
      </c>
      <c r="F4" s="9" t="s">
        <v>107</v>
      </c>
      <c r="G4" s="9" t="s">
        <v>108</v>
      </c>
      <c r="H4" s="9" t="s">
        <v>109</v>
      </c>
      <c r="I4" s="9" t="s">
        <v>110</v>
      </c>
    </row>
    <row r="5" customFormat="false" ht="136.5" hidden="false" customHeight="true" outlineLevel="0" collapsed="false">
      <c r="A5" s="17" t="s">
        <v>111</v>
      </c>
      <c r="B5" s="18" t="s">
        <v>3</v>
      </c>
      <c r="C5" s="18" t="s">
        <v>112</v>
      </c>
      <c r="D5" s="26"/>
      <c r="E5" s="18"/>
      <c r="F5" s="27"/>
      <c r="G5" s="18"/>
      <c r="H5" s="18"/>
      <c r="I5" s="18"/>
    </row>
    <row r="6" customFormat="false" ht="42" hidden="false" customHeight="true" outlineLevel="0" collapsed="false">
      <c r="A6" s="17" t="s">
        <v>113</v>
      </c>
      <c r="B6" s="18" t="s">
        <v>3</v>
      </c>
      <c r="C6" s="18" t="s">
        <v>112</v>
      </c>
      <c r="D6" s="26"/>
      <c r="E6" s="27"/>
      <c r="F6" s="18"/>
      <c r="G6" s="18"/>
      <c r="H6" s="18"/>
      <c r="I6" s="18"/>
    </row>
    <row r="7" customFormat="false" ht="42" hidden="false" customHeight="true" outlineLevel="0" collapsed="false">
      <c r="A7" s="17" t="s">
        <v>114</v>
      </c>
      <c r="B7" s="18" t="s">
        <v>3</v>
      </c>
      <c r="C7" s="18" t="s">
        <v>112</v>
      </c>
      <c r="D7" s="28"/>
      <c r="E7" s="29"/>
      <c r="F7" s="29"/>
      <c r="G7" s="13"/>
      <c r="H7" s="13"/>
      <c r="I7" s="29"/>
    </row>
    <row r="8" customFormat="false" ht="30" hidden="false" customHeight="true" outlineLevel="0" collapsed="false">
      <c r="A8" s="30"/>
      <c r="B8" s="30"/>
      <c r="C8" s="30"/>
      <c r="D8" s="30"/>
      <c r="E8" s="30"/>
      <c r="F8" s="30"/>
      <c r="G8" s="30"/>
      <c r="H8" s="30"/>
      <c r="I8" s="30"/>
    </row>
    <row r="9" customFormat="false" ht="30" hidden="false" customHeight="true" outlineLevel="0" collapsed="false">
      <c r="A9" s="31"/>
      <c r="B9" s="31"/>
      <c r="C9" s="31"/>
      <c r="D9" s="31"/>
      <c r="E9" s="31"/>
      <c r="F9" s="31"/>
      <c r="G9" s="31"/>
      <c r="H9" s="31"/>
      <c r="I9" s="31"/>
    </row>
    <row r="10" customFormat="false" ht="30" hidden="false" customHeight="true" outlineLevel="0" collapsed="false">
      <c r="A10" s="30"/>
      <c r="B10" s="30"/>
      <c r="C10" s="30"/>
      <c r="D10" s="30"/>
      <c r="E10" s="30"/>
      <c r="F10" s="30"/>
      <c r="G10" s="30"/>
      <c r="H10" s="30"/>
      <c r="I10" s="30"/>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30"/>
      <c r="B12" s="30"/>
      <c r="C12" s="30"/>
      <c r="D12" s="30"/>
      <c r="E12" s="30"/>
      <c r="F12" s="30"/>
      <c r="G12" s="30"/>
      <c r="H12" s="30"/>
      <c r="I12" s="30"/>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30"/>
      <c r="B14" s="30"/>
      <c r="C14" s="30"/>
      <c r="D14" s="30"/>
      <c r="E14" s="30"/>
      <c r="F14" s="30"/>
      <c r="G14" s="30"/>
      <c r="H14" s="30"/>
      <c r="I14" s="30"/>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30"/>
      <c r="B16" s="30"/>
      <c r="C16" s="30"/>
      <c r="D16" s="30"/>
      <c r="E16" s="30"/>
      <c r="F16" s="30"/>
      <c r="G16" s="30"/>
      <c r="H16" s="30"/>
      <c r="I16" s="30"/>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30"/>
      <c r="B18" s="30"/>
      <c r="C18" s="30"/>
      <c r="D18" s="30"/>
      <c r="E18" s="30"/>
      <c r="F18" s="30"/>
      <c r="G18" s="30"/>
      <c r="H18" s="30"/>
      <c r="I18" s="30"/>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7" activePane="bottomLeft" state="frozen"/>
      <selection pane="topLeft" activeCell="A1" activeCellId="0" sqref="A1"/>
      <selection pane="bottomLeft" activeCell="G11" activeCellId="0" sqref="G11"/>
    </sheetView>
  </sheetViews>
  <sheetFormatPr defaultColWidth="8.56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25" t="s">
        <v>115</v>
      </c>
      <c r="B1" s="25"/>
      <c r="C1" s="25"/>
      <c r="D1" s="25"/>
      <c r="E1" s="25"/>
      <c r="F1" s="25"/>
      <c r="G1" s="25"/>
      <c r="H1" s="25"/>
      <c r="I1" s="25"/>
    </row>
    <row r="2" customFormat="false" ht="14.25" hidden="false" customHeight="true" outlineLevel="0" collapsed="false">
      <c r="A2" s="32" t="s">
        <v>116</v>
      </c>
      <c r="B2" s="32"/>
      <c r="C2" s="32"/>
      <c r="D2" s="32"/>
      <c r="E2" s="32"/>
      <c r="F2" s="32"/>
      <c r="G2" s="32"/>
      <c r="H2" s="32"/>
      <c r="I2" s="32"/>
    </row>
    <row r="3" customFormat="false" ht="18" hidden="false" customHeight="true" outlineLevel="0" collapsed="false">
      <c r="A3" s="33" t="s">
        <v>117</v>
      </c>
      <c r="B3" s="34" t="s">
        <v>118</v>
      </c>
      <c r="C3" s="34"/>
      <c r="D3" s="35" t="s">
        <v>119</v>
      </c>
      <c r="E3" s="34" t="s">
        <v>120</v>
      </c>
      <c r="F3" s="34"/>
      <c r="G3" s="36" t="s">
        <v>121</v>
      </c>
      <c r="H3" s="34" t="s">
        <v>122</v>
      </c>
      <c r="I3" s="34"/>
    </row>
    <row r="5" customFormat="false" ht="27.75" hidden="false" customHeight="true" outlineLevel="0" collapsed="false">
      <c r="A5" s="9" t="s">
        <v>123</v>
      </c>
      <c r="B5" s="9" t="s">
        <v>2</v>
      </c>
      <c r="C5" s="9" t="s">
        <v>13</v>
      </c>
      <c r="D5" s="9" t="s">
        <v>124</v>
      </c>
      <c r="E5" s="9" t="s">
        <v>125</v>
      </c>
      <c r="F5" s="9" t="s">
        <v>126</v>
      </c>
      <c r="G5" s="9" t="s">
        <v>127</v>
      </c>
      <c r="H5" s="9" t="s">
        <v>128</v>
      </c>
      <c r="I5" s="9" t="s">
        <v>129</v>
      </c>
    </row>
    <row r="6" customFormat="false" ht="50.25" hidden="false" customHeight="true" outlineLevel="0" collapsed="false">
      <c r="A6" s="37" t="n">
        <v>46307</v>
      </c>
      <c r="B6" s="18" t="s">
        <v>3</v>
      </c>
      <c r="C6" s="38" t="s">
        <v>23</v>
      </c>
      <c r="D6" s="12" t="s">
        <v>130</v>
      </c>
      <c r="E6" s="39"/>
      <c r="F6" s="39"/>
      <c r="G6" s="39"/>
      <c r="H6" s="39"/>
      <c r="I6" s="39"/>
    </row>
    <row r="7" customFormat="false" ht="54.75" hidden="false" customHeight="true" outlineLevel="0" collapsed="false">
      <c r="A7" s="37" t="n">
        <v>46307</v>
      </c>
      <c r="B7" s="18" t="s">
        <v>3</v>
      </c>
      <c r="C7" s="40" t="s">
        <v>33</v>
      </c>
      <c r="D7" s="16" t="s">
        <v>35</v>
      </c>
      <c r="E7" s="30"/>
      <c r="F7" s="30"/>
      <c r="G7" s="30"/>
      <c r="H7" s="30"/>
      <c r="I7" s="30"/>
    </row>
    <row r="8" customFormat="false" ht="30" hidden="false" customHeight="true" outlineLevel="0" collapsed="false">
      <c r="A8" s="37" t="n">
        <v>46307</v>
      </c>
      <c r="B8" s="18" t="s">
        <v>3</v>
      </c>
      <c r="C8" s="18" t="s">
        <v>43</v>
      </c>
      <c r="D8" s="18" t="s">
        <v>131</v>
      </c>
      <c r="E8" s="18"/>
      <c r="F8" s="18"/>
      <c r="G8" s="18"/>
      <c r="H8" s="18"/>
      <c r="I8" s="18"/>
    </row>
    <row r="9" customFormat="false" ht="30" hidden="false" customHeight="true" outlineLevel="0" collapsed="false">
      <c r="A9" s="37" t="n">
        <v>46307</v>
      </c>
      <c r="B9" s="18" t="s">
        <v>3</v>
      </c>
      <c r="C9" s="18" t="s">
        <v>52</v>
      </c>
      <c r="D9" s="18" t="s">
        <v>54</v>
      </c>
      <c r="E9" s="18"/>
      <c r="F9" s="18"/>
      <c r="G9" s="18"/>
      <c r="H9" s="18"/>
      <c r="I9" s="18"/>
    </row>
    <row r="10" customFormat="false" ht="30" hidden="false" customHeight="true" outlineLevel="0" collapsed="false">
      <c r="A10" s="37" t="n">
        <v>46307</v>
      </c>
      <c r="B10" s="18" t="s">
        <v>3</v>
      </c>
      <c r="C10" s="18" t="s">
        <v>70</v>
      </c>
      <c r="D10" s="18" t="s">
        <v>72</v>
      </c>
      <c r="E10" s="18"/>
      <c r="F10" s="18"/>
      <c r="G10" s="18"/>
      <c r="H10" s="18"/>
      <c r="I10" s="18"/>
    </row>
    <row r="11" customFormat="false" ht="30" hidden="false" customHeight="true" outlineLevel="0" collapsed="false">
      <c r="A11" s="37" t="n">
        <v>46307</v>
      </c>
      <c r="B11" s="18" t="s">
        <v>3</v>
      </c>
      <c r="C11" s="41" t="s">
        <v>61</v>
      </c>
      <c r="D11" s="18" t="s">
        <v>63</v>
      </c>
      <c r="E11" s="31"/>
      <c r="F11" s="31"/>
      <c r="G11" s="31"/>
      <c r="H11" s="31"/>
      <c r="I11" s="31"/>
    </row>
    <row r="12" customFormat="false" ht="30" hidden="false" customHeight="true" outlineLevel="0" collapsed="false">
      <c r="A12" s="37" t="n">
        <v>46307</v>
      </c>
      <c r="B12" s="18" t="s">
        <v>3</v>
      </c>
      <c r="C12" s="18" t="s">
        <v>80</v>
      </c>
      <c r="D12" s="18" t="s">
        <v>82</v>
      </c>
      <c r="E12" s="18"/>
      <c r="F12" s="18"/>
      <c r="G12" s="30"/>
      <c r="H12" s="30"/>
      <c r="I12" s="30"/>
    </row>
    <row r="13" customFormat="false" ht="30" hidden="false" customHeight="true" outlineLevel="0" collapsed="false">
      <c r="A13" s="37" t="n">
        <v>46307</v>
      </c>
      <c r="B13" s="41" t="s">
        <v>3</v>
      </c>
      <c r="C13" s="41" t="s">
        <v>132</v>
      </c>
      <c r="D13" s="18" t="s">
        <v>93</v>
      </c>
      <c r="E13" s="31"/>
      <c r="F13" s="31"/>
      <c r="G13" s="31"/>
      <c r="H13" s="31"/>
      <c r="I13" s="31"/>
    </row>
    <row r="14" customFormat="false" ht="30" hidden="false" customHeight="true" outlineLevel="0" collapsed="false">
      <c r="A14" s="30"/>
      <c r="B14" s="30"/>
      <c r="C14" s="40"/>
      <c r="D14" s="30"/>
      <c r="E14" s="30"/>
      <c r="F14" s="30"/>
      <c r="G14" s="30"/>
      <c r="H14" s="30"/>
      <c r="I14" s="30"/>
    </row>
    <row r="15" customFormat="false" ht="30" hidden="false" customHeight="true" outlineLevel="0" collapsed="false">
      <c r="A15" s="31"/>
      <c r="B15" s="41"/>
      <c r="C15" s="41"/>
      <c r="D15" s="31"/>
      <c r="E15" s="31"/>
      <c r="F15" s="31"/>
      <c r="G15" s="31"/>
      <c r="H15" s="31"/>
      <c r="I15" s="31"/>
    </row>
    <row r="16" customFormat="false" ht="25.5" hidden="false" customHeight="true" outlineLevel="0" collapsed="false">
      <c r="A16" s="30"/>
      <c r="B16" s="30"/>
      <c r="C16" s="40"/>
      <c r="D16" s="30"/>
      <c r="E16" s="30"/>
      <c r="F16" s="30"/>
      <c r="G16" s="30"/>
      <c r="H16" s="30"/>
      <c r="I16" s="30"/>
    </row>
    <row r="17" customFormat="false" ht="25.5" hidden="false" customHeight="true" outlineLevel="0" collapsed="false">
      <c r="A17" s="31"/>
      <c r="B17" s="41"/>
      <c r="C17" s="41"/>
      <c r="D17" s="31"/>
      <c r="E17" s="31"/>
      <c r="F17" s="31"/>
      <c r="G17" s="31"/>
      <c r="H17" s="31"/>
      <c r="I17" s="31"/>
    </row>
    <row r="18" customFormat="false" ht="25.5" hidden="false" customHeight="true" outlineLevel="0" collapsed="false">
      <c r="A18" s="30"/>
      <c r="B18" s="30"/>
      <c r="C18" s="40"/>
      <c r="D18" s="30"/>
      <c r="E18" s="30"/>
      <c r="F18" s="30"/>
      <c r="G18" s="30"/>
      <c r="H18" s="30"/>
      <c r="I18" s="30"/>
    </row>
    <row r="19" customFormat="false" ht="25.5" hidden="false" customHeight="true" outlineLevel="0" collapsed="false">
      <c r="A19" s="31"/>
      <c r="B19" s="41"/>
      <c r="C19" s="41"/>
      <c r="D19" s="31"/>
      <c r="E19" s="31"/>
      <c r="F19" s="31"/>
      <c r="G19" s="31"/>
      <c r="H19" s="31"/>
      <c r="I19" s="31"/>
    </row>
    <row r="20" customFormat="false" ht="25.5" hidden="false" customHeight="true" outlineLevel="0" collapsed="false"/>
    <row r="21" customFormat="false" ht="25.5" hidden="false" customHeight="true" outlineLevel="0" collapsed="false">
      <c r="C21" s="42" t="s">
        <v>133</v>
      </c>
      <c r="D21" s="43" t="n">
        <f aca="false">COUNTIF($F$8:$F$19,"Green")</f>
        <v>0</v>
      </c>
      <c r="E21" s="44" t="n">
        <f aca="false">COUNTIF($F$8:$F$19,"Amber")</f>
        <v>0</v>
      </c>
      <c r="F21" s="45" t="n">
        <f aca="false">COUNTIF($F$8:$F$19,"Red")</f>
        <v>0</v>
      </c>
    </row>
    <row r="22" customFormat="false" ht="25.5" hidden="false" customHeight="true" outlineLevel="0" collapsed="false">
      <c r="D22" s="46" t="s">
        <v>134</v>
      </c>
      <c r="E22" s="46" t="s">
        <v>135</v>
      </c>
      <c r="F22" s="46" t="s">
        <v>136</v>
      </c>
    </row>
    <row r="23" customFormat="false" ht="25.5" hidden="false" customHeight="true" outlineLevel="0" collapsed="false"/>
    <row r="24" customFormat="false" ht="25.5" hidden="false" customHeight="true" outlineLevel="0" collapsed="false"/>
    <row r="25" customFormat="false" ht="25.5" hidden="false" customHeight="true" outlineLevel="0" collapsed="false"/>
    <row r="26" customFormat="false" ht="25.5" hidden="false" customHeight="true" outlineLevel="0" collapsed="false"/>
    <row r="27" customFormat="false" ht="25.5" hidden="false" customHeight="true" outlineLevel="0" collapsed="false"/>
  </sheetData>
  <mergeCells count="5">
    <mergeCell ref="A1:I1"/>
    <mergeCell ref="A2:I2"/>
    <mergeCell ref="B3:C3"/>
    <mergeCell ref="E3:F3"/>
    <mergeCell ref="H3:I3"/>
  </mergeCells>
  <conditionalFormatting sqref="F7:F27">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7" type="list">
      <formula1>"BUILD,GROW,LAUNCH"</formula1>
      <formula2>0</formula2>
    </dataValidation>
    <dataValidation allowBlank="true" error="Pick a value from the list." errorStyle="stop" errorTitle="Choose from the list" operator="between" showDropDown="false" showErrorMessage="false" showInputMessage="false" sqref="C7:C27"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7:F27" type="list">
      <formula1>"Green,Amber,Red"</formula1>
      <formula2>0</formula2>
    </dataValidation>
    <dataValidation allowBlank="true" error="Pick a value from the list." errorStyle="stop" errorTitle="Choose from the list" operator="between" showDropDown="false" showErrorMessage="false" showInputMessage="false" sqref="H7:H27"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Helen Stewart</cp:lastModifiedBy>
  <dcterms:modified xsi:type="dcterms:W3CDTF">2026-07-15T11:04:52Z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