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Plan" sheetId="1" state="visible" r:id="rId3"/>
    <sheet name="Students" sheetId="2" state="visible" r:id="rId4"/>
    <sheet name="Outcomes RA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<sst xmlns="http://schemas.openxmlformats.org/spreadsheetml/2006/main" count="171" uniqueCount="136">
  <si>
    <t xml:space="preserve">Weekly Planner - To be submitted to Head of School prior to the start of each Half-Term</t>
  </si>
  <si>
    <t xml:space="preserve">Progress Schools  ·  linked to the 2026/27 Schemes of Work</t>
  </si>
  <si>
    <t xml:space="preserve">Pathway</t>
  </si>
  <si>
    <t xml:space="preserve">LAUNCH</t>
  </si>
  <si>
    <t xml:space="preserve">Week no.</t>
  </si>
  <si>
    <t xml:space="preserve">Term</t>
  </si>
  <si>
    <t xml:space="preserve">Autumn</t>
  </si>
  <si>
    <t xml:space="preserve">Group / class</t>
  </si>
  <si>
    <t xml:space="preserve">Launch</t>
  </si>
  <si>
    <t xml:space="preserve">Theme</t>
  </si>
  <si>
    <t xml:space="preserve">Teacher</t>
  </si>
  <si>
    <t xml:space="preserve">Week commencing</t>
  </si>
  <si>
    <t xml:space="preserve">Reviewed by</t>
  </si>
  <si>
    <t xml:space="preserve">SMSC/BV this week: International Day of Peace (Mon 21 Sep) — whole-school reflection + calm tutor-time minute.  European Day of Languages Sat 26 Sep — language-taster starter Fri.  EVIDENCE: assembly print + EFL: community → log in the SMSC Evidence Tracker.</t>
  </si>
  <si>
    <t xml:space="preserve">Subject</t>
  </si>
  <si>
    <t xml:space="preserve">SoW unit (this term)</t>
  </si>
  <si>
    <t xml:space="preserve">This week's outcome</t>
  </si>
  <si>
    <t xml:space="preserve">Activities</t>
  </si>
  <si>
    <t xml:space="preserve">Key vocabulary</t>
  </si>
  <si>
    <t xml:space="preserve">Resources required</t>
  </si>
  <si>
    <t xml:space="preserve">Assess. (F/S)</t>
  </si>
  <si>
    <t xml:space="preserve">Student adaptations</t>
  </si>
  <si>
    <t xml:space="preserve">Classroom support</t>
  </si>
  <si>
    <t xml:space="preserve">Evaluation (after teaching)</t>
  </si>
  <si>
    <t xml:space="preserve">English</t>
  </si>
  <si>
    <t xml:space="preserve">Paper 1 Q3: analyse how the text is structured. AO2.</t>
  </si>
  <si>
    <t xml:space="preserve">I can explain how the beginning, middle and end of an extract changes the reader's focus.</t>
  </si>
  <si>
    <t xml:space="preserve">Arrival task: identify a structural device such as slow reveal, zoom in/out or shift in focus → model beginning/middle/end boxes → read extract in chunks → label focus at each stage → write one structure paragraph using a supported frame.</t>
  </si>
  <si>
    <t xml:space="preserve">structure, beginning, middle, end, focus, shift, tension, slow reveal, zoom, paragraph
</t>
  </si>
  <si>
    <t xml:space="preserve">Unseen fiction extract; structure map; beginning/middle/end grid; Q3 sentence stems; mini glossary of structural devices.</t>
  </si>
  <si>
    <t xml:space="preserve">F</t>
  </si>
  <si>
    <t xml:space="preserve">Chunked extract; visuals/arrows for shifts; no need to use full technical vocabulary; choice of MCQ labels before writing; reduced paragraph frame.</t>
  </si>
  <si>
    <t xml:space="preserve">TA helps students track each section and verbalise what changes. Teacher models how to link structure to reader response.
LOOP [Feedback Policy]: Voice = in-lesson edit / green-pen redraft against the target [//, NS] → Audience: read the redraft against the mark scheme and name the improvement before [R]; deferred response 10–15 min next lesson for essays → EVIDENCE: coded, redrafted book + before/after photo [E: literacy].</t>
  </si>
  <si>
    <t xml:space="preserve">To complete after teaching: record whether students understand structure as organisation/focus rather than language methods.  → Influence: shapes the next instruction and the mock-exam plan; feeds the EHCP/PfA target at review [NS].</t>
  </si>
  <si>
    <t xml:space="preserve">Maths</t>
  </si>
  <si>
    <t xml:space="preserve">Numeracy, Money &amp; Financial Capability</t>
  </si>
  <si>
    <t xml:space="preserve">I can use money confidently by calculating costs, comparing prices and making informed financial decisions.</t>
  </si>
  <si>
    <t xml:space="preserve">Calculate the total cost of items using addition and multiplication.
Work out change from different amounts.
Compare prices and identify the best value for money.
Complete budgeting activities using realistic scenarios.
Explore needs versus wants when making spending decisions.
Solve money-related problems involving shopping, discounts and special offers.
Interpret receipts, price lists and simple bills.
Discuss and make informed financial choices in everyday situations.
Supermarket sweep: real multipack vs single prices — estimate first, calculate the unit price, verdict on mini-whiteboards; till role-play for change with the teacher as customer (live feedback per transaction).</t>
  </si>
  <si>
    <t xml:space="preserve">Money
Cost
Price
Budget
Spend
Save
Income
Expenditure
Change
Value for money
Discount
Offer
Compare
Total
Receipt
Bill
Financial decision
Needs
Wants</t>
  </si>
  <si>
    <t xml:space="preserve">Coins and notes (real or replica)
Price lists and shopping catalogues
Calculators
Receipts and sample bills
Budget planning boards (laminated, reusable)
Whiteboards and pens
Money problem-solving activities
Interactive whiteboard resources
Shopping and financial scenario cards</t>
  </si>
  <si>
    <t xml:space="preserve">Use real-life and practical examples to support understanding.
Provide calculators where appropriate.
Break calculations into manageable steps.
Use visual supports such as shopping lists, price cards and budgeting templates.
Provide vocabulary mats and worked examples.
Offer adult support and guided practice where needed.
Extend learning through more complex budgeting and comparison tasks.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</si>
  <si>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Teacher modelling of money calculations and financial decision-making.
Guided group work and targeted adult support.
Use of practical resources to reinforce learning.
Regular reinforcement of financial vocabulary.
Real-life contexts to increase relevance and engagement.
Ongoing assessment through questioning, discussion and practical tasks.
Positive feedback and opportunities for collaborative learning.
LOOP [Feedback Policy]: Voice = mini-whiteboard show-me / worked re-do [VF, I] → Audience: mark against the method, one [NS]; [R] on an accurate re-do → EVIDENCE: station photo + book (payslips/ratio), same day [E: numeracy/PfA — counts toward the 3-piece weekly minimum].</t>
  </si>
  <si>
    <t xml:space="preserve">Influence: the grade-push skill identified shapes the next lesson and the December summative plan [NS].</t>
  </si>
  <si>
    <t xml:space="preserve">Science</t>
  </si>
  <si>
    <t xml:space="preserve">Edexcel GCSE Biology 1BI0 (F), Topic 1: transport in cells — diffusion &amp; active transport · Paper 1 · SoW Aut1·W4</t>
  </si>
  <si>
    <t xml:space="preserve">I can explain diffusion and active transport and say which one needs energy.</t>
  </si>
  <si>
    <t xml:space="preserve">Arrival task: smell demo (coffee) — 'how did it reach you?' → particles move high → low.  I DO: model diffusion down the gradient (marble tray), then model active transport as 'uphill' — low → high, needs energy from respiration.  WE DO: label both diagrams together with arrows; build the contrast table (direction / gradient / energy?) on the board.  YOU DO: sort 6 statements into diffusion / active transport; complete the contrast table; add one body example each (oxygen into blood · minerals into root hair cells).  EXIT: 'Active transport is different from diffusion because…' stem.  EXAM STRETCH: name three factors that speed up diffusion (higher temperature, steeper concentration gradient, larger surface area) — 3 marks toward grade 4–5.  FADE &amp; COMMAND WORD: fade begins — cut-up sentences withdrawn, stems remain. Command words: EXPLAIN (say why, not just what) vs DESCRIBE.</t>
  </si>
  <si>
    <t xml:space="preserve">diffusion, active transport, particle, concentration, gradient, high, low, membrane, energy, respiration, oxygen, root hair</t>
  </si>
  <si>
    <t xml:space="preserve">Diffusion animation (nocookie) + fallback marble-tray demo; concentration-gradient arrow mat; statement sort cards; contrast table frame; sentence stems; magenta copies.</t>
  </si>
  <si>
    <t xml:space="preserve">Contrast table before extended writing — the compare is the hard part, not the recall. Statement sort removes the writing barrier. Pupil A reads to self with discreet checks; Pupil B takes the 3-factor stretch; kinaesthetic marble demo gives movement; no reading aloud. Pupil C: never on the spot or publicly corrected; clear success criteria and a model answer; challenge on, pressure off when confidence dips.</t>
  </si>
  <si>
    <t xml:space="preserve">Check sensory tolerances before the smell demo — offer the visual-only animation as an alternative; strong scents can be a trigger. TA prompts 'which way do particles move — and does it cost energy?'. Teacher keeps 'high → low, free' / 'low → high, costs' on display. LOOP [Feedback Policy]: Voice = in-lesson edit / statement sort / exam-style answer [//, NS, I] → Audience: mark against the model answer and name the improvement before [R]; deferred response 10–15 min next lesson → EVIDENCE: coded, redrafted book + contrast table [E: science].</t>
  </si>
  <si>
    <t xml:space="preserve">Note who states direction (high → low) unprompted vs who needs the gradient mat; note who links active transport to respiration without prompting.  → Influence: the command-word gap shapes W5's osmosis write-up and the December summative plan [NS]; log RAG per topic to target re-teach.</t>
  </si>
  <si>
    <t xml:space="preserve">PSHE / RSE</t>
  </si>
  <si>
    <t xml:space="preserve">Identity, relationships &amp; rights in adult life · PSHE Association SEND framework · AQA UAS 'Healthy relationships' · SoW Aut1·W4</t>
  </si>
  <si>
    <t xml:space="preserve">I can explain how online content can pressure or mislead, and protect my digital footprint.</t>
  </si>
  <si>
    <t xml:space="preserve">Real-vs-edited detective wall: spot the edit in paired images, verdict stickers, reveal → 'what does your feed know about you?' — live algorithm demo (two fresh searches, watch the ads change) → digital-footprint timeline: what would a college tutor or an employer see? → lock-it-down clinic: privacy-settings checklist worked through on their own phones (school-appropriate, supported).  EVIDENCE: detective-wall verdicts + completed settings checklists (AQA UAS).  STRETCH: who profits when you scroll? — the attention economy in one diagram.</t>
  </si>
  <si>
    <t xml:space="preserve">footprint, privacy, edited, algorithm, pressure, settings</t>
  </si>
  <si>
    <t xml:space="preserve">Paired real/edited images; verdict stickers; demo device + projector; privacy checklist cards; pupils' phones (agreed use).</t>
  </si>
  <si>
    <t xml:space="preserve">Own-phone work is private — staff support beside, never over the shoulder; examples are celebrities/stock, never pupils.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</si>
  <si>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runs the clinic 1:1; teacher drives the algorithm demo with live predictions from the class; photograph walls and checklists as evidence.
LOOP [Feedback Policy]: Voice = recorded micro-interview / script-flip / portfolio piece [VF] → Audience: listen fully, name one strength + one [NS] before tagging; then [R] → EVIDENCE: recording/portfolio to EFL, same day [E: PfA/careers/transition — weekly PfA minimum].</t>
  </si>
  <si>
    <t xml:space="preserve">Influence: feeds each pupil's real destination (college/barbering) → PfA plan and IEDP Outcome 5 [NS].</t>
  </si>
  <si>
    <t xml:space="preserve">RE</t>
  </si>
  <si>
    <t xml:space="preserve">Belief, Identity &amp; Belonging</t>
  </si>
  <si>
    <t xml:space="preserve">I can explain how festivals and shared values promote peace, respect and community spirit.</t>
  </si>
  <si>
    <t xml:space="preserve">Festival values marketplace: stalls for two or three festivals with artefacts, images and (where possible) food → pupils spend 'value tokens' — peace, generosity, family, light — at the festival they think shows that value best, defending each trade out loud → build the shared-values web on the wall with string connecting festivals that honour the same value.  EVIDENCE: web photo + recorded defences (AQA UAS).  STRETCH: how do shared values promote peace between communities? — the GCSE RS community-cohesion idea.</t>
  </si>
  <si>
    <t xml:space="preserve">Peace
Respect
Community
Commitment
Positive relationships
Good initiative
Good judgement
Shared values
Compassion
Kindness
Harmony
Inclusion
Cooperation
Responsibility
Diversity
Festival
Equality
Wisdom</t>
  </si>
  <si>
    <t xml:space="preserve">Festival stall kits (artefacts, images, tasting where food-safe); value tokens; string + wall pins; recorder/camera.</t>
  </si>
  <si>
    <t xml:space="preserve">Trading is movement-based; defences spoken, one sentence is enough; tasting optional.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</si>
  <si>
    <t xml:space="preserve">TA staffs a stall and prompts 'which value, why?'; teacher pulls the string-web together at the end — the visual IS the learning; photograph it.
LOOP [Feedback Policy]: Voice = P-E-E paragraph + spoken viva; green-pen upgrade [//, NS, ?] → Audience: mark against the RS scheme and name the improvement; deferred response for the write; [R] after the upgrade is received → EVIDENCE: paragraph + before/after photo + viva clip [E: RE].</t>
  </si>
  <si>
    <t xml:space="preserve">Influence: the command-word skill shapes the next exam-style question and the December summative [NS].</t>
  </si>
  <si>
    <t xml:space="preserve">Humanities</t>
  </si>
  <si>
    <t xml:space="preserve">NC KS3/4 History — 20th-century Britain: chronology of change (interactive timeline). Links Science/English ICT skills.</t>
  </si>
  <si>
    <t xml:space="preserve">I can place at least five events on a timeline and explain how Britain's identity changed over the century.</t>
  </si>
  <si>
    <t xml:space="preserve">Arrival task: order 3 photos oldest → newest → model placing 2 dated events on a shared timeline → we do: add Windrush 1948 + one more together → you do: drag 5 pre-written event cards onto the interactive timeline (digital, or printed washing-line as a fallback) → exit: 'One way Britain changed was…' stem.</t>
  </si>
  <si>
    <t xml:space="preserve">timeline, chronology, decade, century, event, cause, change, migration, identity, sequence</t>
  </si>
  <si>
    <t xml:space="preserve">Interactive timeline tool + printed washing-line/pegs low-tech fallback; pre-written dated event cards; magenta copies; date/decade mat.</t>
  </si>
  <si>
    <t xml:space="preserve">Pre-written cards remove date-recall load (dyscalculia). Printed washing-line if screens overwhelm. Pupil B places cards independently; Pupil A pegs discreetly, not quizzed aloud. Cap at 5 events; movement built into pegging.
Pupil C: never on the spot or publicly corrected; calm, quiet encouragement; clear success criteria and model examples; challenge on, pressure off when confidence dips.</t>
  </si>
  <si>
    <t xml:space="preserve">TA supports reading dates; teacher models sequencing language ('before/after/during') and keeps decade anchors on display.
LOOP [Feedback Policy]: Voice = source-based edit / structured account [//, NS] → Audience: read against the criteria and name the change; deferred for the account; then [R] → EVIDENCE: coded book + enrichment photos [E: humanities].</t>
  </si>
  <si>
    <t xml:space="preserve">Note who sequences confidently vs who needs the decade mat; check the change explanation moves beyond listing.  → Influence: assessment technique shapes the next enquiry's scaffold [NS].</t>
  </si>
  <si>
    <t xml:space="preserve">Arts (Arts Award)</t>
  </si>
  <si>
    <t xml:space="preserve">Trinity Arts Award, Unit 1 Part A — develop a skill; refine technique with feedback; arts log.</t>
  </si>
  <si>
    <t xml:space="preserve">I can improve one part of my artwork after listening to feedback and record what I changed.</t>
  </si>
  <si>
    <t xml:space="preserve">Arrival task: 'spot the improvement' — compare two versions of a piece → model kind, specific feedback (one thing that works + one to try) using stems → we do: give feedback on a demo piece together → you do: apply one piece of feedback to your own developing work and log the change with a before/after photo → exit: 'I improved… by…' stem.</t>
  </si>
  <si>
    <t xml:space="preserve">technique, refine, improve, feedback, develop, evaluate, medium, skill, before, after</t>
  </si>
  <si>
    <t xml:space="preserve">Feedback stem cards ('I like… / Have you tried…'); pupils' developing pieces; camera/device for before-and-after; arts-log frame; magenta stem sheet.</t>
  </si>
  <si>
    <t xml:space="preserve">Structured feedback stems remove the fear of open critique (Pupil B — no public judgement, written stems). Pupil A gives/receives feedback 1:1, not aloud to the room. Choice of medium; verbal log accepted; celebrate effort, not comparison (no ranking).
Pupil C: never on the spot or publicly corrected; calm, quiet encouragement; clear success criteria and model examples; challenge on, pressure off when confidence dips.</t>
  </si>
  <si>
    <t xml:space="preserve">TA scribes the log if needed; teacher models kind-specific feedback. Before/after photo banks Unit 1 development evidence.
LOOP [Feedback Policy]: Voice = make + written/recorded arts review + reflection [VF, //] → Audience: engage with the review against the Award criteria, one [NS]; listen fully before tagging; then [R] → EVIDENCE: Arts Award Silver portfolio = the accreditation evidence [E: Arts Award] — live/deferred.</t>
  </si>
  <si>
    <t xml:space="preserve">Note who acts on feedback vs who resists change; check evidence is logged and dated.  → Influence: the portfolio builds toward Silver → accreditation next step at moderation [NS].</t>
  </si>
  <si>
    <t xml:space="preserve">PfA/ASDAN PEQ</t>
  </si>
  <si>
    <t xml:space="preserve">PE</t>
  </si>
  <si>
    <t xml:space="preserve">Careers / Vocational (ASDAN)</t>
  </si>
  <si>
    <t xml:space="preserve">
Looking after myself &amp; my home</t>
  </si>
  <si>
    <t xml:space="preserve">I can identify ways to keep my living space clean, safe and healthy.</t>
  </si>
  <si>
    <t xml:space="preserve">Compare images of tidy and untidy living spaces.
Sort cleaning tasks into daily, weekly and monthly jobs.
Explore an example cleaning schedule.
Set a personal cleaning goal.</t>
  </si>
  <si>
    <t xml:space="preserve">Cleaning
Hygiene
Tidy
Germs
Responsibility
Environment</t>
  </si>
  <si>
    <t xml:space="preserve">Room photographs
Cleaning task cards
Example cleaning schedule</t>
  </si>
  <si>
    <t xml:space="preserve">Use visual sorting activities.
Use real cleaning equipment for identification.
Adult support with categorising tasks.
Extension: Design a simple cleaning rota.</t>
  </si>
  <si>
    <t xml:space="preserve">Use clear visual examples of cleanliness standards.
Model completion of the cleaning schedule.
Reinforce links between cleanliness and wellbeing.
Provide structured discussion prompts.
Celebrate positive contributions and personal goals.</t>
  </si>
  <si>
    <t xml:space="preserve">Enrichment &amp; wider opportunities this week   (trips, visitors, themed days, SMSC calendar link, PfA / community)</t>
  </si>
  <si>
    <t xml:space="preserve">Resources &amp; support to prepare before the week   (printing, kit, bookings, briefing the team)</t>
  </si>
  <si>
    <t xml:space="preserve">F = formative  ·  S = summative  ·  PfA = Preparing for Adulthood  </t>
  </si>
  <si>
    <t xml:space="preserve">Student Adaptations</t>
  </si>
  <si>
    <t xml:space="preserve">Name</t>
  </si>
  <si>
    <t xml:space="preserve">Year / KS</t>
  </si>
  <si>
    <t xml:space="preserve">Reading age band</t>
  </si>
  <si>
    <t xml:space="preserve">Communication / sensory needs</t>
  </si>
  <si>
    <t xml:space="preserve">Key scaffolds &amp; adaptations</t>
  </si>
  <si>
    <t xml:space="preserve">EHCP primary outcomes</t>
  </si>
  <si>
    <t xml:space="preserve">PfA focus</t>
  </si>
  <si>
    <t xml:space="preserve">Notes</t>
  </si>
  <si>
    <t xml:space="preserve">Pupil A</t>
  </si>
  <si>
    <t xml:space="preserve">KS4</t>
  </si>
  <si>
    <t xml:space="preserve">Pupil B</t>
  </si>
  <si>
    <t xml:space="preserve">Pupil C</t>
  </si>
  <si>
    <t xml:space="preserve">Outcome Tracker </t>
  </si>
  <si>
    <t xml:space="preserve">Did everyone make progress and meet the outcome? </t>
  </si>
  <si>
    <t xml:space="preserve">GREEN</t>
  </si>
  <si>
    <t xml:space="preserve">All demonstrated progress &amp; achieved the outcome</t>
  </si>
  <si>
    <t xml:space="preserve">AMBER</t>
  </si>
  <si>
    <t xml:space="preserve">Partly met, revisit in class</t>
  </si>
  <si>
    <t xml:space="preserve">RED</t>
  </si>
  <si>
    <t xml:space="preserve">Not met, pick up through intervention</t>
  </si>
  <si>
    <t xml:space="preserve">Week (w/c)</t>
  </si>
  <si>
    <t xml:space="preserve">Outcome reviewed</t>
  </si>
  <si>
    <t xml:space="preserve">Marking / evidence</t>
  </si>
  <si>
    <t xml:space="preserve">RAG</t>
  </si>
  <si>
    <t xml:space="preserve">Students not yet secure</t>
  </si>
  <si>
    <t xml:space="preserve">Picked up via</t>
  </si>
  <si>
    <t xml:space="preserve">Action &amp; timescale</t>
  </si>
  <si>
    <t xml:space="preserve">Students tracked the structure of an extract and explained at least one change in focus or tension.</t>
  </si>
  <si>
    <t xml:space="preserve">I can calculate magnification using the formula and record my results in a spreadsheet.</t>
  </si>
  <si>
    <t xml:space="preserve">Personal Development / PfA</t>
  </si>
  <si>
    <t xml:space="preserve">This sheet:</t>
  </si>
  <si>
    <t xml:space="preserve">Green</t>
  </si>
  <si>
    <t xml:space="preserve">Amber</t>
  </si>
  <si>
    <t xml:space="preserve">Red</t>
  </si>
</sst>
</file>

<file path=xl/styles.xml><?xml version="1.0" encoding="utf-8"?>
<styleSheet xmlns="http://schemas.openxmlformats.org/spreadsheetml/2006/main">
  <numFmts count="4">
    <numFmt numFmtId="164" formatCode="General"/>
    <numFmt numFmtId="165" formatCode="d\-mmm\-yy"/>
    <numFmt numFmtId="166" formatCode="@"/>
    <numFmt numFmtId="167" formatCode="General"/>
  </numFmts>
  <fonts count="24">
    <font>
      <sz val="11"/>
      <color theme="1"/>
      <name val="Calibri"/>
      <family val="2"/>
      <charset val="1"/>
    </font>
    <font>
      <sz val="10"/>
      <name val="Arial"/>
      <family val="0"/>
    </font>
    <font>
      <sz val="10"/>
      <name val="Arial"/>
      <family val="0"/>
    </font>
    <font>
      <sz val="10"/>
      <name val="Arial"/>
      <family val="0"/>
    </font>
    <font>
      <b val="true"/>
      <sz val="18"/>
      <color rgb="FFFFFFFF"/>
      <name val="Arial"/>
      <family val="2"/>
      <charset val="1"/>
    </font>
    <font>
      <sz val="10"/>
      <color rgb="FF566159"/>
      <name val="Arial"/>
      <family val="2"/>
      <charset val="1"/>
    </font>
    <font>
      <b val="true"/>
      <sz val="9"/>
      <color rgb="FF566159"/>
      <name val="Arial"/>
      <family val="2"/>
      <charset val="1"/>
    </font>
    <font>
      <b val="true"/>
      <sz val="10"/>
      <color rgb="FF1B2420"/>
      <name val="Arial"/>
      <family val="2"/>
      <charset val="1"/>
    </font>
    <font>
      <b val="true"/>
      <sz val="10"/>
      <color rgb="FF2E7D4F"/>
      <name val="Arial"/>
      <family val="2"/>
      <charset val="1"/>
    </font>
    <font>
      <sz val="9"/>
      <color rgb="FF2E2A5D"/>
      <name val="Arial"/>
      <family val="0"/>
      <charset val="1"/>
    </font>
    <font>
      <b val="true"/>
      <sz val="9"/>
      <color rgb="FFFFFFFF"/>
      <name val="Arial"/>
      <family val="2"/>
      <charset val="1"/>
    </font>
    <font>
      <b val="true"/>
      <sz val="9"/>
      <color rgb="FF1B2420"/>
      <name val="Arial"/>
      <family val="2"/>
      <charset val="1"/>
    </font>
    <font>
      <sz val="10"/>
      <color rgb="FF000000"/>
      <name val="Calibri"/>
      <family val="2"/>
      <charset val="1"/>
    </font>
    <font>
      <sz val="9"/>
      <color rgb="FF1B2420"/>
      <name val="Arial"/>
      <family val="2"/>
      <charset val="1"/>
    </font>
    <font>
      <sz val="8"/>
      <color rgb="FF566159"/>
      <name val="Arial"/>
      <family val="2"/>
      <charset val="1"/>
    </font>
    <font>
      <i val="true"/>
      <sz val="8"/>
      <color rgb="FF566159"/>
      <name val="Arial"/>
      <family val="2"/>
      <charset val="1"/>
    </font>
    <font>
      <b val="true"/>
      <sz val="16"/>
      <color rgb="FFFFFFFF"/>
      <name val="Arial"/>
      <family val="2"/>
      <charset val="1"/>
    </font>
    <font>
      <sz val="9"/>
      <color rgb="FF1F2A44"/>
      <name val="Open Sans"/>
      <family val="0"/>
      <charset val="1"/>
    </font>
    <font>
      <sz val="9"/>
      <color theme="1"/>
      <name val="Arial"/>
      <family val="0"/>
      <charset val="1"/>
    </font>
    <font>
      <sz val="10"/>
      <name val="Arial"/>
      <family val="2"/>
      <charset val="1"/>
    </font>
    <font>
      <sz val="9"/>
      <name val="Arial"/>
      <family val="2"/>
      <charset val="1"/>
    </font>
    <font>
      <sz val="9"/>
      <color theme="1"/>
      <name val="Arial"/>
      <family val="2"/>
      <charset val="1"/>
    </font>
    <font>
      <b val="true"/>
      <sz val="9"/>
      <color theme="1"/>
      <name val="Arial"/>
      <family val="2"/>
      <charset val="1"/>
    </font>
    <font>
      <b val="true"/>
      <sz val="10"/>
      <color rgb="FFFFFFFF"/>
      <name val="Arial"/>
      <family val="2"/>
      <charset val="1"/>
    </font>
  </fonts>
  <fills count="11">
    <fill>
      <patternFill patternType="none"/>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7FBF7"/>
      </patternFill>
    </fill>
    <fill>
      <patternFill patternType="solid">
        <fgColor rgb="FFF7FBF7"/>
        <bgColor rgb="FFF4F7F3"/>
      </patternFill>
    </fill>
    <fill>
      <patternFill patternType="solid">
        <fgColor rgb="FFF4F7F3"/>
        <bgColor rgb="FFF7FBF7"/>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8">
    <border diagonalUp="false" diagonalDown="false">
      <left/>
      <right/>
      <top/>
      <bottom/>
      <diagonal/>
    </border>
    <border diagonalUp="false" diagonalDown="false">
      <left/>
      <right/>
      <top/>
      <bottom style="thin">
        <color rgb="FFC3CDC1"/>
      </bottom>
      <diagonal/>
    </border>
    <border diagonalUp="false" diagonalDown="false">
      <left style="thin">
        <color rgb="FFC9C9D6"/>
      </left>
      <right style="thin">
        <color rgb="FFC9C9D6"/>
      </right>
      <top style="thin">
        <color rgb="FFC9C9D6"/>
      </top>
      <bottom style="thin">
        <color rgb="FFC9C9D6"/>
      </bottom>
      <diagonal/>
    </border>
    <border diagonalUp="false" diagonalDown="false">
      <left style="thin">
        <color rgb="FFC3CDC1"/>
      </left>
      <right style="thin">
        <color rgb="FFC3CDC1"/>
      </right>
      <top style="thin">
        <color rgb="FFC3CDC1"/>
      </top>
      <bottom/>
      <diagonal/>
    </border>
    <border diagonalUp="false" diagonalDown="false">
      <left style="thin"/>
      <right style="thin"/>
      <top style="thin"/>
      <bottom style="thin"/>
      <diagonal/>
    </border>
    <border diagonalUp="false" diagonalDown="false">
      <left style="thin">
        <color rgb="FFC3CDC1"/>
      </left>
      <right style="thin">
        <color rgb="FFC3CDC1"/>
      </right>
      <top/>
      <bottom style="thin">
        <color rgb="FFC3CDC1"/>
      </bottom>
      <diagonal/>
    </border>
    <border diagonalUp="false" diagonalDown="false">
      <left style="thin">
        <color rgb="FFC3CDC1"/>
      </left>
      <right style="thin">
        <color rgb="FFC3CDC1"/>
      </right>
      <top style="thin">
        <color rgb="FFC3CDC1"/>
      </top>
      <bottom style="thin">
        <color rgb="FFC3CDC1"/>
      </bottom>
      <diagonal/>
    </border>
    <border diagonalUp="false" diagonalDown="false">
      <left style="thin">
        <color rgb="FFC3CDC1"/>
      </left>
      <right/>
      <top style="thin">
        <color rgb="FFC3CDC1"/>
      </top>
      <bottom style="thin">
        <color rgb="FFC3CD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1" fillId="5" borderId="4" xfId="0" applyFont="true" applyBorder="true" applyAlignment="true" applyProtection="false">
      <alignment horizontal="left" vertical="center" textRotation="0" wrapText="true" indent="0" shrinkToFit="false"/>
      <protection locked="true" hidden="false"/>
    </xf>
    <xf numFmtId="164" fontId="12" fillId="6" borderId="4" xfId="0" applyFont="true" applyBorder="true" applyAlignment="true" applyProtection="false">
      <alignment horizontal="general" vertical="center" textRotation="0" wrapText="true" indent="0" shrinkToFit="false"/>
      <protection locked="true" hidden="false"/>
    </xf>
    <xf numFmtId="164" fontId="13" fillId="5" borderId="4" xfId="0" applyFont="true" applyBorder="true" applyAlignment="true" applyProtection="false">
      <alignment horizontal="left" vertical="center" textRotation="0" wrapText="true" indent="0" shrinkToFit="false"/>
      <protection locked="true" hidden="false"/>
    </xf>
    <xf numFmtId="164" fontId="11" fillId="7" borderId="5" xfId="0" applyFont="true" applyBorder="true" applyAlignment="true" applyProtection="false">
      <alignment horizontal="left" vertical="center" textRotation="0" wrapText="true" indent="0" shrinkToFit="false"/>
      <protection locked="true" hidden="false"/>
    </xf>
    <xf numFmtId="164" fontId="13" fillId="7" borderId="5" xfId="0" applyFont="true" applyBorder="true" applyAlignment="true" applyProtection="false">
      <alignment horizontal="left" vertical="center" textRotation="0" wrapText="true" indent="0" shrinkToFit="false"/>
      <protection locked="true" hidden="false"/>
    </xf>
    <xf numFmtId="164" fontId="11" fillId="5" borderId="6" xfId="0" applyFont="true" applyBorder="true" applyAlignment="true" applyProtection="false">
      <alignment horizontal="left" vertical="center" textRotation="0" wrapText="true" indent="0" shrinkToFit="false"/>
      <protection locked="true" hidden="false"/>
    </xf>
    <xf numFmtId="164" fontId="13" fillId="5" borderId="6" xfId="0" applyFont="true" applyBorder="true" applyAlignment="true" applyProtection="false">
      <alignment horizontal="left" vertical="center" textRotation="0" wrapText="true" indent="0" shrinkToFit="false"/>
      <protection locked="true" hidden="false"/>
    </xf>
    <xf numFmtId="164" fontId="11" fillId="7" borderId="6" xfId="0" applyFont="true" applyBorder="true" applyAlignment="true" applyProtection="false">
      <alignment horizontal="left" vertical="center" textRotation="0" wrapText="true" indent="0" shrinkToFit="false"/>
      <protection locked="true" hidden="false"/>
    </xf>
    <xf numFmtId="164" fontId="13" fillId="7" borderId="6" xfId="0" applyFont="true" applyBorder="true" applyAlignment="true" applyProtection="false">
      <alignment horizontal="left" vertical="center" textRotation="0" wrapText="true" indent="0" shrinkToFit="false"/>
      <protection locked="true" hidden="false"/>
    </xf>
    <xf numFmtId="164" fontId="7" fillId="5" borderId="6"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8" fillId="7" borderId="6" xfId="0" applyFont="true" applyBorder="true" applyAlignment="true" applyProtection="false">
      <alignment horizontal="general" vertical="top" textRotation="0" wrapText="true" indent="0" shrinkToFit="false"/>
      <protection locked="true" hidden="false"/>
    </xf>
    <xf numFmtId="164" fontId="14" fillId="7" borderId="6"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left" vertical="center" textRotation="0" wrapText="false" indent="0" shrinkToFit="false"/>
      <protection locked="true" hidden="false"/>
    </xf>
    <xf numFmtId="164" fontId="16" fillId="2" borderId="0" xfId="0" applyFont="true" applyBorder="true" applyAlignment="true" applyProtection="false">
      <alignment horizontal="left" vertical="center" textRotation="0" wrapText="false" indent="0" shrinkToFit="false"/>
      <protection locked="true" hidden="false"/>
    </xf>
    <xf numFmtId="164" fontId="10" fillId="2" borderId="6" xfId="0" applyFont="true" applyBorder="true" applyAlignment="true" applyProtection="false">
      <alignment horizontal="center" vertical="center" textRotation="0" wrapText="true" indent="0" shrinkToFit="false"/>
      <protection locked="true" hidden="false"/>
    </xf>
    <xf numFmtId="166" fontId="13" fillId="5" borderId="6" xfId="0" applyFont="true" applyBorder="tru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6" fontId="13" fillId="5" borderId="7" xfId="0" applyFont="true" applyBorder="true" applyAlignment="true" applyProtection="false">
      <alignment horizontal="left" vertical="center" textRotation="0" wrapText="true" indent="0" shrinkToFit="false"/>
      <protection locked="true" hidden="false"/>
    </xf>
    <xf numFmtId="164" fontId="18" fillId="0" borderId="4" xfId="0" applyFont="true" applyBorder="true" applyAlignment="true" applyProtection="false">
      <alignment horizontal="general" vertical="center" textRotation="0" wrapText="true" indent="0" shrinkToFit="false"/>
      <protection locked="true" hidden="false"/>
    </xf>
    <xf numFmtId="164" fontId="0" fillId="7" borderId="6" xfId="0" applyFont="false" applyBorder="true" applyAlignment="true" applyProtection="false">
      <alignment horizontal="left" vertical="center" textRotation="0" wrapText="true" indent="0" shrinkToFit="false"/>
      <protection locked="true" hidden="false"/>
    </xf>
    <xf numFmtId="164" fontId="0" fillId="5" borderId="6" xfId="0" applyFont="false" applyBorder="true" applyAlignment="true" applyProtection="false">
      <alignment horizontal="left" vertical="center" textRotation="0" wrapText="true" indent="0" shrinkToFit="false"/>
      <protection locked="true" hidden="false"/>
    </xf>
    <xf numFmtId="164" fontId="19" fillId="0" borderId="0"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true" applyAlignment="true" applyProtection="false">
      <alignment horizontal="left"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4" fontId="10" fillId="10" borderId="0" xfId="0" applyFont="true" applyBorder="false" applyAlignment="true" applyProtection="false">
      <alignment horizontal="center" vertical="center" textRotation="0" wrapText="false" indent="0" shrinkToFit="false"/>
      <protection locked="true" hidden="false"/>
    </xf>
    <xf numFmtId="165" fontId="11" fillId="5" borderId="6" xfId="0" applyFont="true" applyBorder="true" applyAlignment="true" applyProtection="false">
      <alignment horizontal="left" vertical="center" textRotation="0" wrapText="true" indent="0" shrinkToFit="false"/>
      <protection locked="true" hidden="false"/>
    </xf>
    <xf numFmtId="164" fontId="21" fillId="0" borderId="6"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false" applyAlignment="true" applyProtection="false">
      <alignment horizontal="general" vertical="bottom" textRotation="0" wrapText="true" indent="0" shrinkToFit="false"/>
      <protection locked="true" hidden="false"/>
    </xf>
    <xf numFmtId="164" fontId="22" fillId="0" borderId="6" xfId="0" applyFont="true" applyBorder="true" applyAlignment="true" applyProtection="false">
      <alignment horizontal="center" vertical="center" textRotation="0" wrapText="true" indent="0" shrinkToFit="false"/>
      <protection locked="true" hidden="false"/>
    </xf>
    <xf numFmtId="164" fontId="0" fillId="7" borderId="6" xfId="0" applyFont="true" applyBorder="true" applyAlignment="true" applyProtection="false">
      <alignment horizontal="left" vertical="center" textRotation="0" wrapText="true" indent="0" shrinkToFit="false"/>
      <protection locked="true" hidden="false"/>
    </xf>
    <xf numFmtId="164" fontId="0" fillId="5" borderId="6"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23" fillId="8" borderId="0" xfId="0" applyFont="true" applyBorder="false" applyAlignment="true" applyProtection="false">
      <alignment horizontal="center" vertical="center" textRotation="0" wrapText="false" indent="0" shrinkToFit="false"/>
      <protection locked="true" hidden="false"/>
    </xf>
    <xf numFmtId="167" fontId="23" fillId="9" borderId="0" xfId="0" applyFont="true" applyBorder="false" applyAlignment="true" applyProtection="false">
      <alignment horizontal="center" vertical="center" textRotation="0" wrapText="false" indent="0" shrinkToFit="false"/>
      <protection locked="true" hidden="false"/>
    </xf>
    <xf numFmtId="167" fontId="23" fillId="1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7FBF7"/>
      <rgbColor rgb="FFF4F7F3"/>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EFE9F2"/>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003300"/>
      <rgbColor rgb="FF1B2420"/>
      <rgbColor rgb="FFC0392B"/>
      <rgbColor rgb="FF993366"/>
      <rgbColor rgb="FF2E2A5D"/>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9" topLeftCell="A16" activePane="bottomLeft" state="frozen"/>
      <selection pane="topLeft" activeCell="A1" activeCellId="0" sqref="A1"/>
      <selection pane="bottomLeft" activeCell="A17" activeCellId="0" sqref="A17"/>
    </sheetView>
  </sheetViews>
  <sheetFormatPr defaultColWidth="8.5703125" defaultRowHeight="14.2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4" min="3" style="1" width="26"/>
    <col collapsed="false" customWidth="true" hidden="false" outlineLevel="0" max="5" min="5" style="1" width="16"/>
    <col collapsed="false" customWidth="true" hidden="false" outlineLevel="0" max="6" min="6" style="1" width="20"/>
    <col collapsed="false" customWidth="true" hidden="false" outlineLevel="0" max="7" min="7" style="1" width="10"/>
    <col collapsed="false" customWidth="true" hidden="false" outlineLevel="0" max="8" min="8" style="1" width="26"/>
    <col collapsed="false" customWidth="true" hidden="false" outlineLevel="0" max="10" min="9" style="1" width="22"/>
  </cols>
  <sheetData>
    <row r="1" customFormat="false" ht="30" hidden="false" customHeight="true" outlineLevel="0" collapsed="false">
      <c r="A1" s="2" t="s">
        <v>0</v>
      </c>
      <c r="B1" s="2"/>
      <c r="C1" s="2"/>
      <c r="D1" s="2"/>
      <c r="E1" s="2"/>
      <c r="F1" s="2"/>
      <c r="G1" s="2"/>
      <c r="H1" s="2"/>
      <c r="I1" s="2"/>
      <c r="J1" s="2"/>
    </row>
    <row r="2" customFormat="false" ht="14.25" hidden="false" customHeight="true" outlineLevel="0" collapsed="false">
      <c r="A2" s="3" t="s">
        <v>1</v>
      </c>
      <c r="B2" s="3"/>
      <c r="C2" s="3"/>
      <c r="D2" s="3"/>
      <c r="E2" s="3"/>
      <c r="F2" s="3"/>
      <c r="G2" s="3"/>
      <c r="H2" s="3"/>
      <c r="I2" s="3"/>
      <c r="J2" s="3"/>
    </row>
    <row r="4" customFormat="false" ht="19.5" hidden="false" customHeight="true" outlineLevel="0" collapsed="false">
      <c r="A4" s="4" t="s">
        <v>2</v>
      </c>
      <c r="B4" s="5" t="s">
        <v>3</v>
      </c>
      <c r="D4" s="1" t="n">
        <v>4</v>
      </c>
      <c r="F4" s="4" t="s">
        <v>4</v>
      </c>
      <c r="G4" s="5" t="n">
        <v>4</v>
      </c>
    </row>
    <row r="5" customFormat="false" ht="19.5" hidden="false" customHeight="true" outlineLevel="0" collapsed="false">
      <c r="A5" s="4" t="s">
        <v>5</v>
      </c>
      <c r="B5" s="5" t="s">
        <v>6</v>
      </c>
      <c r="F5" s="4" t="s">
        <v>7</v>
      </c>
      <c r="G5" s="5" t="s">
        <v>8</v>
      </c>
    </row>
    <row r="6" customFormat="false" ht="19.5" hidden="false" customHeight="true" outlineLevel="0" collapsed="false">
      <c r="A6" s="4" t="s">
        <v>9</v>
      </c>
      <c r="B6" s="6" t="str">
        <f aca="false">IF(B5="Autumn","Identity &amp; Belonging",IF(B5="Spring","Resilience &amp; Change",IF(B5="Summer","Our World, My Future","pick a term")))</f>
        <v>Identity &amp; Belonging</v>
      </c>
      <c r="C6" s="6"/>
      <c r="D6" s="6"/>
      <c r="F6" s="4" t="s">
        <v>10</v>
      </c>
      <c r="G6" s="5"/>
    </row>
    <row r="7" customFormat="false" ht="19.5" hidden="false" customHeight="true" outlineLevel="0" collapsed="false">
      <c r="A7" s="4" t="s">
        <v>11</v>
      </c>
      <c r="B7" s="7" t="n">
        <v>46286</v>
      </c>
      <c r="F7" s="4" t="s">
        <v>12</v>
      </c>
      <c r="G7" s="5"/>
    </row>
    <row r="8" customFormat="false" ht="33.75" hidden="false" customHeight="true" outlineLevel="0" collapsed="false">
      <c r="A8" s="8" t="s">
        <v>13</v>
      </c>
      <c r="B8" s="8"/>
      <c r="C8" s="8"/>
      <c r="D8" s="8"/>
      <c r="E8" s="8"/>
      <c r="F8" s="8"/>
      <c r="G8" s="8"/>
      <c r="H8" s="8"/>
      <c r="I8" s="8"/>
      <c r="J8" s="8"/>
    </row>
    <row r="9" customFormat="false" ht="30" hidden="false" customHeight="true" outlineLevel="0" collapsed="false">
      <c r="A9" s="9" t="s">
        <v>14</v>
      </c>
      <c r="B9" s="9" t="s">
        <v>15</v>
      </c>
      <c r="C9" s="9" t="s">
        <v>16</v>
      </c>
      <c r="D9" s="9" t="s">
        <v>17</v>
      </c>
      <c r="E9" s="9" t="s">
        <v>18</v>
      </c>
      <c r="F9" s="9" t="s">
        <v>19</v>
      </c>
      <c r="G9" s="9" t="s">
        <v>20</v>
      </c>
      <c r="H9" s="9" t="s">
        <v>21</v>
      </c>
      <c r="I9" s="9" t="s">
        <v>22</v>
      </c>
      <c r="J9" s="9" t="s">
        <v>23</v>
      </c>
    </row>
    <row r="10" customFormat="false" ht="309.75" hidden="false" customHeight="true" outlineLevel="0" collapsed="false">
      <c r="A10" s="10" t="s">
        <v>24</v>
      </c>
      <c r="B10" s="11" t="s">
        <v>25</v>
      </c>
      <c r="C10" s="11" t="s">
        <v>26</v>
      </c>
      <c r="D10" s="11" t="s">
        <v>27</v>
      </c>
      <c r="E10" s="11" t="s">
        <v>28</v>
      </c>
      <c r="F10" s="11" t="s">
        <v>29</v>
      </c>
      <c r="G10" s="12" t="s">
        <v>30</v>
      </c>
      <c r="H10" s="11" t="s">
        <v>31</v>
      </c>
      <c r="I10" s="11" t="s">
        <v>32</v>
      </c>
      <c r="J10" s="11" t="s">
        <v>33</v>
      </c>
    </row>
    <row r="11" customFormat="false" ht="330" hidden="false" customHeight="true" outlineLevel="0" collapsed="false">
      <c r="A11" s="13" t="s">
        <v>34</v>
      </c>
      <c r="B11" s="14" t="s">
        <v>35</v>
      </c>
      <c r="C11" s="14" t="s">
        <v>36</v>
      </c>
      <c r="D11" s="14" t="s">
        <v>37</v>
      </c>
      <c r="E11" s="14" t="s">
        <v>38</v>
      </c>
      <c r="F11" s="14" t="s">
        <v>39</v>
      </c>
      <c r="G11" s="14" t="s">
        <v>30</v>
      </c>
      <c r="H11" s="14" t="s">
        <v>40</v>
      </c>
      <c r="I11" s="14" t="s">
        <v>41</v>
      </c>
      <c r="J11" s="14" t="s">
        <v>42</v>
      </c>
    </row>
    <row r="12" customFormat="false" ht="360" hidden="false" customHeight="true" outlineLevel="0" collapsed="false">
      <c r="A12" s="15" t="s">
        <v>43</v>
      </c>
      <c r="B12" s="16" t="s">
        <v>44</v>
      </c>
      <c r="C12" s="16" t="s">
        <v>45</v>
      </c>
      <c r="D12" s="16" t="s">
        <v>46</v>
      </c>
      <c r="E12" s="16" t="s">
        <v>47</v>
      </c>
      <c r="F12" s="16" t="s">
        <v>48</v>
      </c>
      <c r="G12" s="16" t="s">
        <v>30</v>
      </c>
      <c r="H12" s="16" t="s">
        <v>49</v>
      </c>
      <c r="I12" s="16" t="s">
        <v>50</v>
      </c>
      <c r="J12" s="16" t="s">
        <v>51</v>
      </c>
    </row>
    <row r="13" customFormat="false" ht="330" hidden="false" customHeight="true" outlineLevel="0" collapsed="false">
      <c r="A13" s="17" t="s">
        <v>52</v>
      </c>
      <c r="B13" s="18" t="s">
        <v>53</v>
      </c>
      <c r="C13" s="18" t="s">
        <v>54</v>
      </c>
      <c r="D13" s="18" t="s">
        <v>55</v>
      </c>
      <c r="E13" s="18" t="s">
        <v>56</v>
      </c>
      <c r="F13" s="18" t="s">
        <v>57</v>
      </c>
      <c r="G13" s="18" t="s">
        <v>30</v>
      </c>
      <c r="H13" s="18" t="s">
        <v>58</v>
      </c>
      <c r="I13" s="18" t="s">
        <v>59</v>
      </c>
      <c r="J13" s="18" t="s">
        <v>60</v>
      </c>
    </row>
    <row r="14" customFormat="false" ht="330" hidden="false" customHeight="true" outlineLevel="0" collapsed="false">
      <c r="A14" s="15" t="s">
        <v>61</v>
      </c>
      <c r="B14" s="16" t="s">
        <v>62</v>
      </c>
      <c r="C14" s="16" t="s">
        <v>63</v>
      </c>
      <c r="D14" s="16" t="s">
        <v>64</v>
      </c>
      <c r="E14" s="16" t="s">
        <v>65</v>
      </c>
      <c r="F14" s="16" t="s">
        <v>66</v>
      </c>
      <c r="G14" s="16" t="s">
        <v>30</v>
      </c>
      <c r="H14" s="16" t="s">
        <v>67</v>
      </c>
      <c r="I14" s="16" t="s">
        <v>68</v>
      </c>
      <c r="J14" s="16" t="s">
        <v>69</v>
      </c>
    </row>
    <row r="15" customFormat="false" ht="330" hidden="false" customHeight="true" outlineLevel="0" collapsed="false">
      <c r="A15" s="17" t="s">
        <v>70</v>
      </c>
      <c r="B15" s="16" t="s">
        <v>71</v>
      </c>
      <c r="C15" s="16" t="s">
        <v>72</v>
      </c>
      <c r="D15" s="16" t="s">
        <v>73</v>
      </c>
      <c r="E15" s="16" t="s">
        <v>74</v>
      </c>
      <c r="F15" s="16" t="s">
        <v>75</v>
      </c>
      <c r="G15" s="16" t="s">
        <v>30</v>
      </c>
      <c r="H15" s="16" t="s">
        <v>76</v>
      </c>
      <c r="I15" s="16" t="s">
        <v>77</v>
      </c>
      <c r="J15" s="16" t="s">
        <v>78</v>
      </c>
    </row>
    <row r="16" customFormat="false" ht="408.75" hidden="false" customHeight="true" outlineLevel="0" collapsed="false">
      <c r="A16" s="19" t="s">
        <v>79</v>
      </c>
      <c r="B16" s="16" t="s">
        <v>80</v>
      </c>
      <c r="C16" s="16" t="s">
        <v>81</v>
      </c>
      <c r="D16" s="16" t="s">
        <v>82</v>
      </c>
      <c r="E16" s="16" t="s">
        <v>83</v>
      </c>
      <c r="F16" s="16" t="s">
        <v>84</v>
      </c>
      <c r="G16" s="16" t="s">
        <v>30</v>
      </c>
      <c r="H16" s="16" t="s">
        <v>85</v>
      </c>
      <c r="I16" s="16" t="s">
        <v>86</v>
      </c>
      <c r="J16" s="16" t="s">
        <v>87</v>
      </c>
    </row>
    <row r="17" customFormat="false" ht="144" hidden="false" customHeight="true" outlineLevel="0" collapsed="false">
      <c r="A17" s="19" t="s">
        <v>88</v>
      </c>
      <c r="B17" s="16"/>
      <c r="C17" s="16"/>
      <c r="D17" s="16"/>
      <c r="E17" s="16"/>
      <c r="F17" s="16"/>
      <c r="G17" s="16"/>
      <c r="H17" s="16"/>
      <c r="I17" s="16"/>
      <c r="J17" s="16"/>
    </row>
    <row r="18" customFormat="false" ht="45.75" hidden="false" customHeight="true" outlineLevel="0" collapsed="false">
      <c r="A18" s="17" t="s">
        <v>89</v>
      </c>
      <c r="B18" s="18"/>
      <c r="C18" s="18"/>
      <c r="D18" s="18"/>
      <c r="E18" s="18"/>
      <c r="F18" s="18"/>
      <c r="G18" s="18"/>
      <c r="H18" s="18"/>
      <c r="I18" s="18"/>
      <c r="J18" s="18"/>
    </row>
    <row r="19" customFormat="false" ht="45.75" hidden="false" customHeight="true" outlineLevel="0" collapsed="false">
      <c r="A19" s="15" t="s">
        <v>90</v>
      </c>
      <c r="B19" s="16" t="s">
        <v>91</v>
      </c>
      <c r="C19" s="16" t="s">
        <v>92</v>
      </c>
      <c r="D19" s="16" t="s">
        <v>93</v>
      </c>
      <c r="E19" s="16" t="s">
        <v>94</v>
      </c>
      <c r="F19" s="16" t="s">
        <v>95</v>
      </c>
      <c r="G19" s="16"/>
      <c r="H19" s="16" t="s">
        <v>96</v>
      </c>
      <c r="I19" s="16" t="s">
        <v>97</v>
      </c>
      <c r="J19" s="16"/>
    </row>
    <row r="21" customFormat="false" ht="18" hidden="false" customHeight="true" outlineLevel="0" collapsed="false">
      <c r="A21" s="20" t="s">
        <v>98</v>
      </c>
      <c r="B21" s="20"/>
      <c r="C21" s="20"/>
      <c r="D21" s="20"/>
      <c r="E21" s="20"/>
      <c r="F21" s="20"/>
      <c r="G21" s="20"/>
      <c r="H21" s="20"/>
      <c r="I21" s="20"/>
      <c r="J21" s="20"/>
    </row>
    <row r="22" customFormat="false" ht="117.75" hidden="false" customHeight="true" outlineLevel="0" collapsed="false">
      <c r="A22" s="21"/>
      <c r="B22" s="21"/>
      <c r="C22" s="21"/>
      <c r="D22" s="21"/>
      <c r="E22" s="21"/>
      <c r="F22" s="21"/>
      <c r="G22" s="21"/>
      <c r="H22" s="21"/>
      <c r="I22" s="21"/>
      <c r="J22" s="21"/>
    </row>
    <row r="23" customFormat="false" ht="18" hidden="false" customHeight="true" outlineLevel="0" collapsed="false">
      <c r="A23" s="20" t="s">
        <v>99</v>
      </c>
      <c r="B23" s="20"/>
      <c r="C23" s="20"/>
      <c r="D23" s="20"/>
      <c r="E23" s="20"/>
      <c r="F23" s="20"/>
      <c r="G23" s="20"/>
      <c r="H23" s="20"/>
      <c r="I23" s="20"/>
      <c r="J23" s="20"/>
    </row>
    <row r="24" customFormat="false" ht="147.75" hidden="false" customHeight="true" outlineLevel="0" collapsed="false">
      <c r="A24" s="22"/>
      <c r="B24" s="22"/>
      <c r="C24" s="22"/>
      <c r="D24" s="22"/>
      <c r="E24" s="22"/>
      <c r="F24" s="22"/>
      <c r="G24" s="22"/>
      <c r="H24" s="22"/>
      <c r="I24" s="22"/>
      <c r="J24" s="22"/>
    </row>
    <row r="25" customFormat="false" ht="14.25" hidden="false" customHeight="true" outlineLevel="0" collapsed="false">
      <c r="A25" s="23" t="s">
        <v>100</v>
      </c>
      <c r="B25" s="23"/>
      <c r="C25" s="23"/>
      <c r="D25" s="23"/>
      <c r="E25" s="23"/>
      <c r="F25" s="23"/>
      <c r="G25" s="23"/>
      <c r="H25" s="23"/>
      <c r="I25" s="23"/>
      <c r="J25" s="23"/>
    </row>
  </sheetData>
  <mergeCells count="9">
    <mergeCell ref="A1:J1"/>
    <mergeCell ref="A2:J2"/>
    <mergeCell ref="B6:D6"/>
    <mergeCell ref="A8:J8"/>
    <mergeCell ref="A21:J21"/>
    <mergeCell ref="A22:J22"/>
    <mergeCell ref="A23:J23"/>
    <mergeCell ref="A24:J24"/>
    <mergeCell ref="A25:J25"/>
  </mergeCells>
  <dataValidations count="4">
    <dataValidation allowBlank="true" error="Pick a value from the list." errorStyle="stop" errorTitle="Choose from the list" operator="between" showDropDown="false" showErrorMessage="false" showInputMessage="false" sqref="B4" type="list">
      <formula1>"BUILD,GROW,LAUNCH"</formula1>
      <formula2>0</formula2>
    </dataValidation>
    <dataValidation allowBlank="true" error="Pick a value from the list." errorStyle="stop" errorTitle="Choose from the list" operator="between" showDropDown="false" showErrorMessage="false" showInputMessage="false" sqref="B5" type="list">
      <formula1>"Autumn,Spring,Summer"</formula1>
      <formula2>0</formula2>
    </dataValidation>
    <dataValidation allowBlank="true" error="Pick a value from the list." errorStyle="stop" errorTitle="Choose from the list" operator="between" showDropDown="false" showErrorMessage="false" showInputMessage="false" sqref="A10:A19"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G10:G19" type="list">
      <formula1>"F,S,F + 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6" activePane="bottomLeft" state="frozen"/>
      <selection pane="topLeft" activeCell="A1" activeCellId="0" sqref="A1"/>
      <selection pane="bottomLeft" activeCell="A7" activeCellId="0" sqref="A7"/>
    </sheetView>
  </sheetViews>
  <sheetFormatPr defaultColWidth="8.57031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10"/>
    <col collapsed="false" customWidth="true" hidden="false" outlineLevel="0" max="4" min="4" style="1" width="15"/>
    <col collapsed="false" customWidth="true" hidden="false" outlineLevel="0" max="5" min="5" style="1" width="26"/>
    <col collapsed="false" customWidth="true" hidden="false" outlineLevel="0" max="7" min="6" style="1" width="28"/>
    <col collapsed="false" customWidth="true" hidden="false" outlineLevel="0" max="8" min="8" style="1" width="18"/>
    <col collapsed="false" customWidth="true" hidden="false" outlineLevel="0" max="9" min="9" style="1" width="22"/>
  </cols>
  <sheetData>
    <row r="1" customFormat="false" ht="25.5" hidden="false" customHeight="true" outlineLevel="0" collapsed="false">
      <c r="A1" s="24" t="s">
        <v>101</v>
      </c>
      <c r="B1" s="24"/>
      <c r="C1" s="24"/>
      <c r="D1" s="24"/>
      <c r="E1" s="24"/>
      <c r="F1" s="24"/>
      <c r="G1" s="24"/>
      <c r="H1" s="24"/>
      <c r="I1" s="24"/>
    </row>
    <row r="2" customFormat="false" ht="14.25" hidden="false" customHeight="true" outlineLevel="0" collapsed="false">
      <c r="A2" s="3"/>
      <c r="B2" s="3"/>
      <c r="C2" s="3"/>
      <c r="D2" s="3"/>
      <c r="E2" s="3"/>
      <c r="F2" s="3"/>
      <c r="G2" s="3"/>
      <c r="H2" s="3"/>
      <c r="I2" s="3"/>
    </row>
    <row r="4" customFormat="false" ht="27.75" hidden="false" customHeight="true" outlineLevel="0" collapsed="false">
      <c r="A4" s="25" t="s">
        <v>102</v>
      </c>
      <c r="B4" s="25" t="s">
        <v>2</v>
      </c>
      <c r="C4" s="25" t="s">
        <v>103</v>
      </c>
      <c r="D4" s="25" t="s">
        <v>104</v>
      </c>
      <c r="E4" s="25" t="s">
        <v>105</v>
      </c>
      <c r="F4" s="25" t="s">
        <v>106</v>
      </c>
      <c r="G4" s="25" t="s">
        <v>107</v>
      </c>
      <c r="H4" s="25" t="s">
        <v>108</v>
      </c>
      <c r="I4" s="25" t="s">
        <v>109</v>
      </c>
    </row>
    <row r="5" customFormat="false" ht="136.5" hidden="false" customHeight="true" outlineLevel="0" collapsed="false">
      <c r="A5" s="15" t="s">
        <v>110</v>
      </c>
      <c r="B5" s="16" t="s">
        <v>3</v>
      </c>
      <c r="C5" s="16" t="s">
        <v>111</v>
      </c>
      <c r="D5" s="26"/>
      <c r="E5" s="16"/>
      <c r="F5" s="27"/>
      <c r="G5" s="16"/>
      <c r="H5" s="16"/>
      <c r="I5" s="16"/>
    </row>
    <row r="6" customFormat="false" ht="150" hidden="false" customHeight="true" outlineLevel="0" collapsed="false">
      <c r="A6" s="15" t="s">
        <v>112</v>
      </c>
      <c r="B6" s="16" t="s">
        <v>3</v>
      </c>
      <c r="C6" s="16" t="s">
        <v>111</v>
      </c>
      <c r="D6" s="26"/>
      <c r="E6" s="27"/>
      <c r="F6" s="16"/>
      <c r="G6" s="16"/>
      <c r="H6" s="16"/>
      <c r="I6" s="16"/>
    </row>
    <row r="7" customFormat="false" ht="42" hidden="false" customHeight="true" outlineLevel="0" collapsed="false">
      <c r="A7" s="15" t="s">
        <v>113</v>
      </c>
      <c r="B7" s="16" t="s">
        <v>3</v>
      </c>
      <c r="C7" s="16" t="s">
        <v>111</v>
      </c>
      <c r="D7" s="28"/>
      <c r="E7" s="29"/>
      <c r="F7" s="29"/>
      <c r="G7" s="12"/>
      <c r="H7" s="12"/>
      <c r="I7" s="29"/>
    </row>
    <row r="8" customFormat="false" ht="30" hidden="false" customHeight="true" outlineLevel="0" collapsed="false">
      <c r="A8" s="30"/>
      <c r="B8" s="30"/>
      <c r="C8" s="30"/>
      <c r="D8" s="30"/>
      <c r="E8" s="30"/>
      <c r="F8" s="30"/>
      <c r="G8" s="30"/>
      <c r="H8" s="30"/>
      <c r="I8" s="30"/>
    </row>
    <row r="9" customFormat="false" ht="30" hidden="false" customHeight="true" outlineLevel="0" collapsed="false">
      <c r="A9" s="31"/>
      <c r="B9" s="31"/>
      <c r="C9" s="31"/>
      <c r="D9" s="31"/>
      <c r="E9" s="31"/>
      <c r="F9" s="31"/>
      <c r="G9" s="31"/>
      <c r="H9" s="31"/>
      <c r="I9" s="31"/>
    </row>
    <row r="10" customFormat="false" ht="30" hidden="false" customHeight="true" outlineLevel="0" collapsed="false">
      <c r="A10" s="30"/>
      <c r="B10" s="30"/>
      <c r="C10" s="30"/>
      <c r="D10" s="30"/>
      <c r="E10" s="30"/>
      <c r="F10" s="30"/>
      <c r="G10" s="30"/>
      <c r="H10" s="30"/>
      <c r="I10" s="30"/>
    </row>
    <row r="11" customFormat="false" ht="30" hidden="false" customHeight="true" outlineLevel="0" collapsed="false">
      <c r="A11" s="31"/>
      <c r="B11" s="31"/>
      <c r="C11" s="31"/>
      <c r="D11" s="31"/>
      <c r="E11" s="31"/>
      <c r="F11" s="31"/>
      <c r="G11" s="31"/>
      <c r="H11" s="31"/>
      <c r="I11" s="31"/>
    </row>
    <row r="12" customFormat="false" ht="30" hidden="false" customHeight="true" outlineLevel="0" collapsed="false">
      <c r="A12" s="30"/>
      <c r="B12" s="30"/>
      <c r="C12" s="30"/>
      <c r="D12" s="30"/>
      <c r="E12" s="30"/>
      <c r="F12" s="30"/>
      <c r="G12" s="30"/>
      <c r="H12" s="30"/>
      <c r="I12" s="30"/>
    </row>
    <row r="13" customFormat="false" ht="30" hidden="false" customHeight="true" outlineLevel="0" collapsed="false">
      <c r="A13" s="31"/>
      <c r="B13" s="31"/>
      <c r="C13" s="31"/>
      <c r="D13" s="31"/>
      <c r="E13" s="31"/>
      <c r="F13" s="31"/>
      <c r="G13" s="31"/>
      <c r="H13" s="31"/>
      <c r="I13" s="31"/>
    </row>
    <row r="14" customFormat="false" ht="30" hidden="false" customHeight="true" outlineLevel="0" collapsed="false">
      <c r="A14" s="30"/>
      <c r="B14" s="30"/>
      <c r="C14" s="30"/>
      <c r="D14" s="30"/>
      <c r="E14" s="30"/>
      <c r="F14" s="30"/>
      <c r="G14" s="30"/>
      <c r="H14" s="30"/>
      <c r="I14" s="30"/>
    </row>
    <row r="15" customFormat="false" ht="30" hidden="false" customHeight="true" outlineLevel="0" collapsed="false">
      <c r="A15" s="31"/>
      <c r="B15" s="31"/>
      <c r="C15" s="31"/>
      <c r="D15" s="31"/>
      <c r="E15" s="31"/>
      <c r="F15" s="31"/>
      <c r="G15" s="31"/>
      <c r="H15" s="31"/>
      <c r="I15" s="31"/>
    </row>
    <row r="16" customFormat="false" ht="30" hidden="false" customHeight="true" outlineLevel="0" collapsed="false">
      <c r="A16" s="30"/>
      <c r="B16" s="30"/>
      <c r="C16" s="30"/>
      <c r="D16" s="30"/>
      <c r="E16" s="30"/>
      <c r="F16" s="30"/>
      <c r="G16" s="30"/>
      <c r="H16" s="30"/>
      <c r="I16" s="30"/>
    </row>
    <row r="17" customFormat="false" ht="30" hidden="false" customHeight="true" outlineLevel="0" collapsed="false">
      <c r="A17" s="31"/>
      <c r="B17" s="31"/>
      <c r="C17" s="31"/>
      <c r="D17" s="31"/>
      <c r="E17" s="31"/>
      <c r="F17" s="31"/>
      <c r="G17" s="31"/>
      <c r="H17" s="31"/>
      <c r="I17" s="31"/>
    </row>
    <row r="18" customFormat="false" ht="30" hidden="false" customHeight="true" outlineLevel="0" collapsed="false">
      <c r="A18" s="30"/>
      <c r="B18" s="30"/>
      <c r="C18" s="30"/>
      <c r="D18" s="30"/>
      <c r="E18" s="30"/>
      <c r="F18" s="30"/>
      <c r="G18" s="30"/>
      <c r="H18" s="30"/>
      <c r="I18" s="30"/>
    </row>
    <row r="19" customFormat="false" ht="30" hidden="false" customHeight="true" outlineLevel="0" collapsed="false">
      <c r="A19" s="31"/>
      <c r="B19" s="31"/>
      <c r="C19" s="31"/>
      <c r="D19" s="31"/>
      <c r="E19" s="31"/>
      <c r="F19" s="31"/>
      <c r="G19" s="31"/>
      <c r="H19" s="31"/>
      <c r="I19" s="31"/>
    </row>
  </sheetData>
  <mergeCells count="2">
    <mergeCell ref="A1:I1"/>
    <mergeCell ref="A2:I2"/>
  </mergeCells>
  <conditionalFormatting sqref="B5:B19">
    <cfRule type="cellIs" priority="2" operator="equal" aboveAverage="0" equalAverage="0" bottom="0" percent="0" rank="0" text="" dxfId="0">
      <formula>"BUILD"</formula>
    </cfRule>
    <cfRule type="cellIs" priority="3" operator="equal" aboveAverage="0" equalAverage="0" bottom="0" percent="0" rank="0" text="" dxfId="1">
      <formula>"GROW"</formula>
    </cfRule>
    <cfRule type="cellIs" priority="4" operator="equal" aboveAverage="0" equalAverage="0" bottom="0" percent="0" rank="0" text="" dxfId="2">
      <formula>"LAUNCH"</formula>
    </cfRule>
  </conditionalFormatting>
  <dataValidations count="1">
    <dataValidation allowBlank="true" error="Pick a value from the list." errorStyle="stop" errorTitle="Choose from the list" operator="between" showDropDown="false" showErrorMessage="false" showInputMessage="false" sqref="B5:B19" type="list">
      <formula1>"BUILD,GROW,LAUNCH"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27"/>
  <sheetViews>
    <sheetView showFormulas="false" showGridLines="false" showRowColHeaders="true" showZeros="true" rightToLeft="false" tabSelected="false" showOutlineSymbols="true" defaultGridColor="true" view="normal" topLeftCell="A1" colorId="64" zoomScale="102" zoomScaleNormal="102" zoomScalePageLayoutView="100" workbookViewId="0">
      <pane xSplit="0" ySplit="5" topLeftCell="A8" activePane="bottomLeft" state="frozen"/>
      <selection pane="topLeft" activeCell="A1" activeCellId="0" sqref="A1"/>
      <selection pane="bottomLeft" activeCell="C13" activeCellId="0" sqref="C13"/>
    </sheetView>
  </sheetViews>
  <sheetFormatPr defaultColWidth="8.5703125" defaultRowHeight="14.2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16"/>
    <col collapsed="false" customWidth="true" hidden="false" outlineLevel="0" max="4" min="4" style="1" width="28"/>
    <col collapsed="false" customWidth="true" hidden="false" outlineLevel="0" max="5" min="5" style="1" width="24"/>
    <col collapsed="false" customWidth="true" hidden="false" outlineLevel="0" max="6" min="6" style="1" width="9"/>
    <col collapsed="false" customWidth="true" hidden="false" outlineLevel="0" max="7" min="7" style="1" width="24"/>
    <col collapsed="false" customWidth="true" hidden="false" outlineLevel="0" max="8" min="8" style="1" width="18"/>
    <col collapsed="false" customWidth="true" hidden="false" outlineLevel="0" max="9" min="9" style="1" width="26"/>
  </cols>
  <sheetData>
    <row r="1" customFormat="false" ht="25.5" hidden="false" customHeight="true" outlineLevel="0" collapsed="false">
      <c r="A1" s="24" t="s">
        <v>114</v>
      </c>
      <c r="B1" s="24"/>
      <c r="C1" s="24"/>
      <c r="D1" s="24"/>
      <c r="E1" s="24"/>
      <c r="F1" s="24"/>
      <c r="G1" s="24"/>
      <c r="H1" s="24"/>
      <c r="I1" s="24"/>
    </row>
    <row r="2" customFormat="false" ht="14.25" hidden="false" customHeight="true" outlineLevel="0" collapsed="false">
      <c r="A2" s="32" t="s">
        <v>115</v>
      </c>
      <c r="B2" s="32"/>
      <c r="C2" s="32"/>
      <c r="D2" s="32"/>
      <c r="E2" s="32"/>
      <c r="F2" s="32"/>
      <c r="G2" s="32"/>
      <c r="H2" s="32"/>
      <c r="I2" s="32"/>
    </row>
    <row r="3" customFormat="false" ht="18" hidden="false" customHeight="true" outlineLevel="0" collapsed="false">
      <c r="A3" s="33" t="s">
        <v>116</v>
      </c>
      <c r="B3" s="34" t="s">
        <v>117</v>
      </c>
      <c r="C3" s="34"/>
      <c r="D3" s="35" t="s">
        <v>118</v>
      </c>
      <c r="E3" s="34" t="s">
        <v>119</v>
      </c>
      <c r="F3" s="34"/>
      <c r="G3" s="36" t="s">
        <v>120</v>
      </c>
      <c r="H3" s="34" t="s">
        <v>121</v>
      </c>
      <c r="I3" s="34"/>
    </row>
    <row r="5" customFormat="false" ht="27.75" hidden="false" customHeight="true" outlineLevel="0" collapsed="false">
      <c r="A5" s="25" t="s">
        <v>122</v>
      </c>
      <c r="B5" s="25" t="s">
        <v>2</v>
      </c>
      <c r="C5" s="25" t="s">
        <v>14</v>
      </c>
      <c r="D5" s="25" t="s">
        <v>123</v>
      </c>
      <c r="E5" s="25" t="s">
        <v>124</v>
      </c>
      <c r="F5" s="25" t="s">
        <v>125</v>
      </c>
      <c r="G5" s="25" t="s">
        <v>126</v>
      </c>
      <c r="H5" s="25" t="s">
        <v>127</v>
      </c>
      <c r="I5" s="25" t="s">
        <v>128</v>
      </c>
    </row>
    <row r="6" customFormat="false" ht="51.75" hidden="false" customHeight="true" outlineLevel="0" collapsed="false">
      <c r="A6" s="37" t="n">
        <v>46286</v>
      </c>
      <c r="B6" s="16" t="s">
        <v>3</v>
      </c>
      <c r="C6" s="38" t="s">
        <v>24</v>
      </c>
      <c r="D6" s="39" t="s">
        <v>129</v>
      </c>
      <c r="E6" s="40"/>
      <c r="F6" s="40"/>
      <c r="G6" s="40"/>
      <c r="H6" s="40"/>
      <c r="I6" s="40"/>
    </row>
    <row r="7" customFormat="false" ht="54.75" hidden="false" customHeight="true" outlineLevel="0" collapsed="false">
      <c r="A7" s="37" t="n">
        <v>46286</v>
      </c>
      <c r="B7" s="16" t="s">
        <v>3</v>
      </c>
      <c r="C7" s="41" t="s">
        <v>34</v>
      </c>
      <c r="D7" s="14" t="s">
        <v>36</v>
      </c>
      <c r="E7" s="30"/>
      <c r="F7" s="30"/>
      <c r="G7" s="30"/>
      <c r="H7" s="30"/>
      <c r="I7" s="30"/>
    </row>
    <row r="8" customFormat="false" ht="30" hidden="false" customHeight="true" outlineLevel="0" collapsed="false">
      <c r="A8" s="37" t="n">
        <v>46286</v>
      </c>
      <c r="B8" s="16" t="s">
        <v>3</v>
      </c>
      <c r="C8" s="16" t="s">
        <v>43</v>
      </c>
      <c r="D8" s="16" t="s">
        <v>130</v>
      </c>
      <c r="E8" s="16"/>
      <c r="F8" s="16"/>
      <c r="G8" s="16"/>
      <c r="H8" s="16"/>
      <c r="I8" s="16"/>
    </row>
    <row r="9" customFormat="false" ht="30" hidden="false" customHeight="true" outlineLevel="0" collapsed="false">
      <c r="A9" s="37" t="n">
        <v>46286</v>
      </c>
      <c r="B9" s="16" t="s">
        <v>3</v>
      </c>
      <c r="C9" s="16" t="s">
        <v>52</v>
      </c>
      <c r="D9" s="16" t="s">
        <v>54</v>
      </c>
      <c r="E9" s="16"/>
      <c r="F9" s="16"/>
      <c r="G9" s="16"/>
      <c r="H9" s="16"/>
      <c r="I9" s="16"/>
    </row>
    <row r="10" customFormat="false" ht="30" hidden="false" customHeight="true" outlineLevel="0" collapsed="false">
      <c r="A10" s="37" t="n">
        <v>46286</v>
      </c>
      <c r="B10" s="16" t="s">
        <v>3</v>
      </c>
      <c r="C10" s="16" t="s">
        <v>70</v>
      </c>
      <c r="D10" s="16" t="s">
        <v>72</v>
      </c>
      <c r="E10" s="16"/>
      <c r="F10" s="16"/>
      <c r="G10" s="16"/>
      <c r="H10" s="16"/>
      <c r="I10" s="16"/>
    </row>
    <row r="11" customFormat="false" ht="30" hidden="false" customHeight="true" outlineLevel="0" collapsed="false">
      <c r="A11" s="37" t="n">
        <v>46286</v>
      </c>
      <c r="B11" s="16" t="s">
        <v>3</v>
      </c>
      <c r="C11" s="42" t="s">
        <v>61</v>
      </c>
      <c r="D11" s="16" t="s">
        <v>63</v>
      </c>
      <c r="E11" s="31"/>
      <c r="F11" s="31"/>
      <c r="G11" s="31"/>
      <c r="H11" s="31"/>
      <c r="I11" s="31"/>
    </row>
    <row r="12" customFormat="false" ht="30" hidden="false" customHeight="true" outlineLevel="0" collapsed="false">
      <c r="A12" s="37" t="n">
        <v>46286</v>
      </c>
      <c r="B12" s="16" t="s">
        <v>3</v>
      </c>
      <c r="C12" s="16" t="s">
        <v>79</v>
      </c>
      <c r="D12" s="16" t="s">
        <v>81</v>
      </c>
      <c r="E12" s="16"/>
      <c r="F12" s="16"/>
      <c r="G12" s="30"/>
      <c r="H12" s="30"/>
      <c r="I12" s="30"/>
    </row>
    <row r="13" customFormat="false" ht="30" hidden="false" customHeight="true" outlineLevel="0" collapsed="false">
      <c r="A13" s="37" t="n">
        <v>46286</v>
      </c>
      <c r="B13" s="42" t="s">
        <v>3</v>
      </c>
      <c r="C13" s="42" t="s">
        <v>131</v>
      </c>
      <c r="D13" s="16" t="s">
        <v>92</v>
      </c>
      <c r="E13" s="31"/>
      <c r="F13" s="31"/>
      <c r="G13" s="31"/>
      <c r="H13" s="31"/>
      <c r="I13" s="31"/>
    </row>
    <row r="14" customFormat="false" ht="30" hidden="false" customHeight="true" outlineLevel="0" collapsed="false">
      <c r="A14" s="30"/>
      <c r="B14" s="30"/>
      <c r="C14" s="41"/>
      <c r="D14" s="30"/>
      <c r="E14" s="30"/>
      <c r="F14" s="30"/>
      <c r="G14" s="30"/>
      <c r="H14" s="30"/>
      <c r="I14" s="30"/>
    </row>
    <row r="15" customFormat="false" ht="30" hidden="false" customHeight="true" outlineLevel="0" collapsed="false">
      <c r="A15" s="31"/>
      <c r="B15" s="42"/>
      <c r="C15" s="42"/>
      <c r="D15" s="31"/>
      <c r="E15" s="31"/>
      <c r="F15" s="31"/>
      <c r="G15" s="31"/>
      <c r="H15" s="31"/>
      <c r="I15" s="31"/>
    </row>
    <row r="16" customFormat="false" ht="25.5" hidden="false" customHeight="true" outlineLevel="0" collapsed="false">
      <c r="A16" s="30"/>
      <c r="B16" s="30"/>
      <c r="C16" s="41"/>
      <c r="D16" s="30"/>
      <c r="E16" s="30"/>
      <c r="F16" s="30"/>
      <c r="G16" s="30"/>
      <c r="H16" s="30"/>
      <c r="I16" s="30"/>
    </row>
    <row r="17" customFormat="false" ht="25.5" hidden="false" customHeight="true" outlineLevel="0" collapsed="false">
      <c r="A17" s="31"/>
      <c r="B17" s="42"/>
      <c r="C17" s="42"/>
      <c r="D17" s="31"/>
      <c r="E17" s="31"/>
      <c r="F17" s="31"/>
      <c r="G17" s="31"/>
      <c r="H17" s="31"/>
      <c r="I17" s="31"/>
    </row>
    <row r="18" customFormat="false" ht="25.5" hidden="false" customHeight="true" outlineLevel="0" collapsed="false">
      <c r="A18" s="30"/>
      <c r="B18" s="30"/>
      <c r="C18" s="41"/>
      <c r="D18" s="30"/>
      <c r="E18" s="30"/>
      <c r="F18" s="30"/>
      <c r="G18" s="30"/>
      <c r="H18" s="30"/>
      <c r="I18" s="30"/>
    </row>
    <row r="19" customFormat="false" ht="25.5" hidden="false" customHeight="true" outlineLevel="0" collapsed="false">
      <c r="A19" s="31"/>
      <c r="B19" s="42"/>
      <c r="C19" s="42"/>
      <c r="D19" s="31"/>
      <c r="E19" s="31"/>
      <c r="F19" s="31"/>
      <c r="G19" s="31"/>
      <c r="H19" s="31"/>
      <c r="I19" s="31"/>
    </row>
    <row r="20" customFormat="false" ht="25.5" hidden="false" customHeight="true" outlineLevel="0" collapsed="false"/>
    <row r="21" customFormat="false" ht="25.5" hidden="false" customHeight="true" outlineLevel="0" collapsed="false">
      <c r="C21" s="43" t="s">
        <v>132</v>
      </c>
      <c r="D21" s="44" t="n">
        <f aca="false">COUNTIF($F$8:$F$19,"Green")</f>
        <v>0</v>
      </c>
      <c r="E21" s="45" t="n">
        <f aca="false">COUNTIF($F$8:$F$19,"Amber")</f>
        <v>0</v>
      </c>
      <c r="F21" s="46" t="n">
        <f aca="false">COUNTIF($F$8:$F$19,"Red")</f>
        <v>0</v>
      </c>
    </row>
    <row r="22" customFormat="false" ht="25.5" hidden="false" customHeight="true" outlineLevel="0" collapsed="false">
      <c r="D22" s="47" t="s">
        <v>133</v>
      </c>
      <c r="E22" s="47" t="s">
        <v>134</v>
      </c>
      <c r="F22" s="47" t="s">
        <v>135</v>
      </c>
    </row>
    <row r="23" customFormat="false" ht="25.5" hidden="false" customHeight="true" outlineLevel="0" collapsed="false"/>
    <row r="24" customFormat="false" ht="25.5" hidden="false" customHeight="true" outlineLevel="0" collapsed="false"/>
    <row r="25" customFormat="false" ht="25.5" hidden="false" customHeight="true" outlineLevel="0" collapsed="false"/>
    <row r="26" customFormat="false" ht="25.5" hidden="false" customHeight="true" outlineLevel="0" collapsed="false"/>
    <row r="27" customFormat="false" ht="25.5" hidden="false" customHeight="true" outlineLevel="0" collapsed="false"/>
  </sheetData>
  <mergeCells count="5">
    <mergeCell ref="A1:I1"/>
    <mergeCell ref="A2:I2"/>
    <mergeCell ref="B3:C3"/>
    <mergeCell ref="E3:F3"/>
    <mergeCell ref="H3:I3"/>
  </mergeCells>
  <conditionalFormatting sqref="F7:F27">
    <cfRule type="cellIs" priority="2" operator="equal" aboveAverage="0" equalAverage="0" bottom="0" percent="0" rank="0" text="" dxfId="0">
      <formula>"Green"</formula>
    </cfRule>
    <cfRule type="cellIs" priority="3" operator="equal" aboveAverage="0" equalAverage="0" bottom="0" percent="0" rank="0" text="" dxfId="3">
      <formula>"Amber"</formula>
    </cfRule>
    <cfRule type="cellIs" priority="4" operator="equal" aboveAverage="0" equalAverage="0" bottom="0" percent="0" rank="0" text="" dxfId="4">
      <formula>"Red"</formula>
    </cfRule>
  </conditionalFormatting>
  <dataValidations count="4">
    <dataValidation allowBlank="true" error="Pick a value from the list." errorStyle="stop" errorTitle="Choose from the list" operator="between" showDropDown="false" showErrorMessage="false" showInputMessage="false" sqref="B6:B27" type="list">
      <formula1>"BUILD,GROW,LAUNCH"</formula1>
      <formula2>0</formula2>
    </dataValidation>
    <dataValidation allowBlank="true" error="Pick a value from the list." errorStyle="stop" errorTitle="Choose from the list" operator="between" showDropDown="false" showErrorMessage="false" showInputMessage="false" sqref="C7:C27"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F7:F27" type="list">
      <formula1>"Green,Amber,Red"</formula1>
      <formula2>0</formula2>
    </dataValidation>
    <dataValidation allowBlank="true" error="Pick a value from the list." errorStyle="stop" errorTitle="Choose from the list" operator="between" showDropDown="false" showErrorMessage="false" showInputMessage="false" sqref="H7:H27" type="list">
      <formula1>"Achieved (move on),Revisit in class,Intervention"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2026-06-22T07:46:21Z</dcterms:created>
  <dc:creator>openpyxl</dc:creator>
  <dc:description/>
  <dc:language>en-US</dc:language>
  <cp:lastModifiedBy>Hanna Kemp</cp:lastModifiedBy>
  <dcterms:modified xsi:type="dcterms:W3CDTF">2026-07-15T11:04:51Z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0x0101002C6E38C4B2056147BFEE88C7F682B392</vt:lpwstr>
  </property>
  <property fmtid="{D5CDD505-2E9C-101B-9397-08002B2CF9AE}" pid="3" name="MediaServiceImageTags">
    <vt:lpwstr/>
  </property>
</Properties>
</file>