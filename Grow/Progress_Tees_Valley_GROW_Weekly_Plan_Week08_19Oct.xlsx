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Plan" sheetId="1" state="visible" r:id="rId3"/>
    <sheet name="Students" sheetId="2" state="visible" r:id="rId4"/>
    <sheet name="Outcomes RA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<sst xmlns="http://schemas.openxmlformats.org/spreadsheetml/2006/main" count="161" uniqueCount="131">
  <si>
    <t xml:space="preserve">Weekly Planner - To be submitted to Head of School prior to the start of each Half-Term</t>
  </si>
  <si>
    <t xml:space="preserve">Progress Schools  ·  linked to the 2026/27 Schemes of Work</t>
  </si>
  <si>
    <t xml:space="preserve">Pathway</t>
  </si>
  <si>
    <t xml:space="preserve">GROW</t>
  </si>
  <si>
    <t xml:space="preserve">Week no.</t>
  </si>
  <si>
    <t xml:space="preserve">Term</t>
  </si>
  <si>
    <t xml:space="preserve">Autumn</t>
  </si>
  <si>
    <t xml:space="preserve">Group / class</t>
  </si>
  <si>
    <t xml:space="preserve">Launch</t>
  </si>
  <si>
    <t xml:space="preserve">Theme</t>
  </si>
  <si>
    <t xml:space="preserve">Teacher</t>
  </si>
  <si>
    <t xml:space="preserve">Week commencing</t>
  </si>
  <si>
    <t xml:space="preserve">Reviewed by</t>
  </si>
  <si>
    <t xml:space="preserve">SMSC/BV this week: Black History Month culminates (half-term Fri 23 Oct) — fold the celebration into Grow's citizenship action and Festivals-of-Light showcase.  EVIDENCE: showcase photos + EFL: cultural; complete this half-term's rows in the SMSC Evidence Tracker before break.</t>
  </si>
  <si>
    <t xml:space="preserve">Subject</t>
  </si>
  <si>
    <t xml:space="preserve">SoW unit (this term)</t>
  </si>
  <si>
    <t xml:space="preserve">This week's outcome</t>
  </si>
  <si>
    <t xml:space="preserve">Activities</t>
  </si>
  <si>
    <t xml:space="preserve">Key vocabulary</t>
  </si>
  <si>
    <t xml:space="preserve">Resources required</t>
  </si>
  <si>
    <t xml:space="preserve">Assess. (F/S)</t>
  </si>
  <si>
    <t xml:space="preserve">Student adaptations</t>
  </si>
  <si>
    <t xml:space="preserve">Classroom support</t>
  </si>
  <si>
    <t xml:space="preserve">Evaluation (after teaching)</t>
  </si>
  <si>
    <t xml:space="preserve">English</t>
  </si>
  <si>
    <t xml:space="preserve">Identity and Belonging: feedback, catch-up and personal English goals. Students review their work from the half-term, complete missing evidence and set one target linked to communication, reading or writing.</t>
  </si>
  <si>
    <t xml:space="preserve">I can look back at my English work, improve one task and choose one goal for next half-term.</t>
  </si>
  <si>
    <t xml:space="preserve">Arrival task: “What have I done well?” reflection → look through completed work on identity, belonging and communication → choose one task to improve or finish → respond to teacher feedback → complete missing evidence where needed → goal-setting sheet: one strength, one area to improve, one next step → short 1:1 review.</t>
  </si>
  <si>
    <t xml:space="preserve">identity, belonging, feedback, improve, goal, strength, next step, communication, confidence, evidence</t>
  </si>
  <si>
    <t xml:space="preserve">Student folders/books; previous Identity and Belonging tasks; feedback slips; catch-up task menu; goal-setting sheet; confidence tracker; highlighters; coloured paper/overlays; laptops/reading pens where needed.</t>
  </si>
  <si>
    <t xml:space="preserve">F</t>
  </si>
  <si>
    <t xml:space="preserve">Choice of task; reduced writing option; cloze paragraph or sentence starters for reflection; tick-box confidence review; scribe/reader where agreed; no cold calling; short 1:1 check-in; movement/regulation breaks.</t>
  </si>
  <si>
    <t xml:space="preserve">TA supports students to find missing work, understand feedback, complete one improvement and record a realistic goal. Teacher reviews progress and identifies students needing extra support with reading, writing, confidence or independence.</t>
  </si>
  <si>
    <t xml:space="preserve">To complete after teaching: note who completed evidence, who improved work, who still needs catch-up, and what targets should inform Autumn 2 planning.</t>
  </si>
  <si>
    <t xml:space="preserve">Maths</t>
  </si>
  <si>
    <t xml:space="preserve">Measures in real life (FS E3/L1 → GCSE bridge)</t>
  </si>
  <si>
    <t xml:space="preserve">I can measure length, weight and capacity accurately in a real task.</t>
  </si>
  <si>
    <t xml:space="preserve">Launch the measures block with a Trades Challenge Day — a rotation of real jobs: cut-list measuring with tape measures and mm/cm conversions (construction link), liquid measuring for a recipe or mocktail (capacity — catering/care link), weigh-and-price parcels on digital and balance scales (postage challenge).  Estimate FIRST at every station, measure, compare — the Week 6 estimation habit carries straight over.  Photo evidence + a measurement log per station, with live feedback at each.  GCSE STRETCH: convert between units (mm ↔ cm ↔ m; ml ↔ l; g ↔ kg).</t>
  </si>
  <si>
    <t xml:space="preserve">measure, length, weight (mass), capacity, estimate, units, convert, accurate</t>
  </si>
  <si>
    <t xml:space="preserve">Tape measures and rulers; digital and balance scales; measuring jugs/cylinders; parcels to weigh; recipe ingredients; station cards; mini-whiteboards; camera.</t>
  </si>
  <si>
    <t xml:space="preserve">Estimate-first removes the fear of being wrong; the rotation builds in movement; stations echo the pupils' own vocational aims (construction, catering/care, practical trades).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</si>
  <si>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Teacher runs the rotation as a site foreman giving live feedback per station; TA photographs each pupil's accurate measure for AQA UAS evidence; logs stay short — numbers, not sentences.
LOOP [Feedback Policy]: Voice = mini-whiteboard show-me / re-do, verbal reply [VF, I] → Audience: name the corrected step back and tick the success criteria; [R] on an accurate re-do → EVIDENCE: photo of the practical proof + book note, same day [E: numeracy/vocational — daily EFL].</t>
  </si>
  <si>
    <t xml:space="preserve">Influence: next task adapted; who needs the method re-modelled shapes grouping and the half-termly plan [NS].</t>
  </si>
  <si>
    <t xml:space="preserve">Science</t>
  </si>
  <si>
    <t xml:space="preserve">Forces &amp; Earth in space (WRS Y5/6) — day and night + consolidation · ELC 8939 · SoW Aut1·W8  [REALIGNED]</t>
  </si>
  <si>
    <t xml:space="preserve">I can explain day and night, and show what I have learned this half-term.</t>
  </si>
  <si>
    <t xml:space="preserve">Arrival: 5 picture-supported recall questions (force → fair test → friction → orbit → planet). I DO: model day/night with torch + globe — the EARTH SPINS, the Sun does not move. WE DO: find our spot on the globe; spin it; watch our spot go into shadow. YOU DO: complete the day/night explanation with stems; then the tiered consolidation check. EXIT: 'It is night because…'  MISCONCEPTION (strike through) — THE BIG ONE: the Sun does NOT go down or move round us; the Earth turns. Clouds do not cause night.  CONSOLIDATION: tiered check across forces · fair testing · mechanisms · space. Poor performance triggers an intervention lesson, never a detention.</t>
  </si>
  <si>
    <t xml:space="preserve">day, night, rotate, spin, axis, 24 hours, shadow, sunrise, sunset, evidence</t>
  </si>
  <si>
    <t xml:space="preserve">Torch + globe (darkened corner); sticky dot for 'us'; day/night stems; TIERED CONSOLIDATION CHECK (picture-supported → stems → short written); ELC 8939 evidence sheets; RAG grid.</t>
  </si>
  <si>
    <t xml:space="preserve">S</t>
  </si>
  <si>
    <t xml:space="preserve">The globe demo is repeated per pupil individually — this misconception is stubborn and only breaks when they spin it themselves. Consolidation tiered 3 ways: same questions, different rungs. Pupil A: back-row seat, never questioned on the spot; sentence starters, checklists and the word bank; extra time for neat presentation. She is told the format a week ahead — no surprises before an assessed piece.</t>
  </si>
  <si>
    <t xml:space="preserve">TA re-runs the globe 1:1 with anyone still saying 'the Sun goes down'. Teacher frames the check as 'show me what you've got', not a test. LOOP [Feedback Policy]: Voice = fair-test plan / results table / labelled diagram / short written describe / verbal reply [VF, //, I/WS] → Audience: read the answer or diagram back and name one improvement; [R] once received → EVIDENCE: coded, redrafted book + results photo [E: science — banks ELC 8939 evidence].</t>
  </si>
  <si>
    <t xml:space="preserve">Note who says 'the Earth spins' vs 'the Sun goes down' — the single diagnostic for the whole space block.  → Influence: RAG per strand sets the Aut 2 starting point and the ELC 8939 entry decision; weak strands become intervention lessons in Aut 2, never detentions [NS].</t>
  </si>
  <si>
    <t xml:space="preserve">PSHE / RSE</t>
  </si>
  <si>
    <t xml:space="preserve">Identity, rights &amp; British values (PSHE Association KS3 + ACT) · AQA UAS 'Rights &amp; responsibilities' · SoW Aut1·W8</t>
  </si>
  <si>
    <t xml:space="preserve">I can carry out our community action and show its impact.</t>
  </si>
  <si>
    <t xml:space="preserve">Do the action for REAL (Active Citizenship, part 2) → capture before/during/after photos → build the impact wall: what changed, who noticed, what we'd do differently → each pupil records a 30-second 'what I did and why it mattered' clip → staff bank AQA UAS 'Rights &amp; responsibilities' evidence with pupils.  GCSE STRETCH: evaluate — one success and one improvement, the GCSE evaluation skill.</t>
  </si>
  <si>
    <t xml:space="preserve">impact, evidence, evaluate, proud, citizenship, difference</t>
  </si>
  <si>
    <t xml:space="preserve">Everything the Week 7 plan needs (agreed at the pitch); camera/phone for clips; impact-wall display space; AQA UAS summary sheets.</t>
  </si>
  <si>
    <t xml:space="preserve">S (AQA UAS 'Rights &amp; responsibilities' banked)</t>
  </si>
  <si>
    <t xml:space="preserve">Roles carried over from W7 so everyone contributes their strength; clips can be voice-only or TA-supported.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</si>
  <si>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photographs throughout and supports the clips; teacher hosts the impact-wall debrief; evidence filed with pupils, not about them — celebrate publicly.
LOOP [Feedback Policy]: Voice = campaign video / freeze-frame / card + verbal reply [VF] → Audience: name the strength back + one [NS]; listen to clips fully before tagging, then [R] → EVIDENCE: video/card photo to EFL, same day [E: PfA/citizenship/social enterprise — daily EFL].</t>
  </si>
  <si>
    <t xml:space="preserve">Influence: the W7 pitch shapes the W8 real action; outcomes feed APDR and the citizenship ladder [NS].</t>
  </si>
  <si>
    <t xml:space="preserve">RE</t>
  </si>
  <si>
    <t xml:space="preserve">I can present what I have learned about beliefs and festivals in our showcase.</t>
  </si>
  <si>
    <t xml:space="preserve">Finale — the Festivals of Light showcase: curate the display wall, makes and recordings from Weeks 3–7 into a walk-through exhibition (the poppy cascade as the reflective final room) → each pupil presents ONE exhibit to an invited adult, 1:1 or small group, using the key terms (belief, festival, symbolism) → staff bank AQA UAS evidence with the pupil.  GCSE STRETCH: answer one spoken 'Explain two ways…' style question — the GCSE RS command word, out loud.</t>
  </si>
  <si>
    <t xml:space="preserve">showcase, belief, festival, symbolism, respect, present, explain</t>
  </si>
  <si>
    <t xml:space="preserve">All Weeks 3–7 makes, photos and recordings; exhibition labels; invited trusted adults; camera/voice recorder; AQA UAS summary sheets.</t>
  </si>
  <si>
    <t xml:space="preserve">S (unit evidence banked — AQA UAS)</t>
  </si>
  <si>
    <t xml:space="preserve">Presenting is 1:1 to a chosen adult with a TA-supported option; key-term cards in hand remove recall pressure. 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</si>
  <si>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curates with pupils; teacher invites each pupil's trusted adult as the audience; recordings complete the AQA UAS evidence.
LOOP [Feedback Policy]: Voice = defended bid / make + spoken reason / W5 paragraph [VF, //] → Audience: name the comparison back; for the W5 write, one [NS] then response time; [R] after received → EVIDENCE: photo of make/web + W5 paragraph in book [E: RE/enrichment] — W5 deferred.</t>
  </si>
  <si>
    <t xml:space="preserve">Influence: who compares vs describes shapes next week's stem and the half-termly plan [NS].</t>
  </si>
  <si>
    <t xml:space="preserve">Humanities</t>
  </si>
  <si>
    <t xml:space="preserve">Kapow Geography — locate countries, continents and oceans on a map/atlas (begins the Geography strand).</t>
  </si>
  <si>
    <t xml:space="preserve">I can find continents and oceans on a map and locate one country.</t>
  </si>
  <si>
    <t xml:space="preserve">Arrival task: 'where in the world?' — point to a continent on a big map → model using an atlas index and the map key → we do: find 2 continents and one ocean together → you do: label the 7 continents (picture-supported) and locate one country linked to a class member's heritage or a Week 4 figure → exit: name one continent and one ocean to the TA.</t>
  </si>
  <si>
    <t xml:space="preserve">map, atlas, globe, continent, ocean, country, locate, key, index, world</t>
  </si>
  <si>
    <t xml:space="preserve">Large world map/globe; atlases; picture-supported continents worksheet; sticky labels; magenta copies; links to History migration &amp; the coming festivals-of-light geography.</t>
  </si>
  <si>
    <t xml:space="preserve">Big visual map + physical pointing/labelling; picture support throughout. Locating a country tied to heritage or a familiar figure adds relevance. Chunk into continents then oceans then country; movement in pointing/labelling.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</si>
  <si>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models using the atlas index; teacher keeps the labelled map on display; connect to migration (where people came from) so it links back, not sideways.
LOOP [Feedback Policy]: Voice = source verdict / timeline placement / short account [//, I] → Audience: read against the success criteria and name the change; [R] after received → EVIDENCE: coded book + enquiry photos [E: humanities] — deferred for the written account.</t>
  </si>
  <si>
    <t xml:space="preserve">Note who distinguishes continent from country vs who confuses them.  → Influence: the source-use skill shapes the next enquiry's scaffold [NS].</t>
  </si>
  <si>
    <t xml:space="preserve">Arts (Arts Award)</t>
  </si>
  <si>
    <t xml:space="preserve">Trinity Arts Award Explore — explore festival music, sound and instruments (festivals-of-light theme).</t>
  </si>
  <si>
    <t xml:space="preserve">I can explore sounds and instruments and describe how they make me feel.</t>
  </si>
  <si>
    <t xml:space="preserve">Arrival task: 'listen' — eyes closed, hear a festival sound, one word for how it feels → model describing a sound (loud/soft, fast/slow, happy/calm) → we do: try one instrument together and describe it → you do: explore a small set of instruments/sounds and note feelings in the log (sound → feeling) → exit: share your favourite sound with the TA.</t>
  </si>
  <si>
    <t xml:space="preserve">sound, music, instrument, rhythm, loud, soft, festival, feeling, describe, arts log</t>
  </si>
  <si>
    <t xml:space="preserve">A small set of tuned/untuned instruments; festival sound clips (calm-volume, headphones option); sound-and-feeling log frame; magenta copies; device.</t>
  </si>
  <si>
    <t xml:space="preserve">Sensory and choice-led; describing feelings, not writing paragraphs. Headphones/volume control and an opt-out for sound sensitivity. Verbal responses accepted and scribed; calm space. Banks Arts Award Explore evidence. Pupil A: back-row seat, never questioned on the spot; sentence starters, checklists and the maths word bank; extra time for neat presentation (it matters to her); movement/comfort breaks and toilet pass honoured without comment. Pupil B: say his name and gain attention first; state the task, its purpose and what's next; chunked steps on a visible checklist; movement break and a fresh start if dysregulated. Pupil C: blue paper/overlay; avoid board-copying — printed or photographed versions instead; scribe or voice-note options for extended writing; frequent light focus check-ins and movement breaks.</t>
  </si>
  <si>
    <t xml:space="preserve">TA manages volume and offers headphones; teacher models simple sound description; record responses for the portfolio; link to festivals of light across the half-term.
LOOP [Feedback Policy]: Voice = make + arts-log photo + comment [VF] → Audience: listen fully before tagging, one next technique [NS]; then [R] → EVIDENCE: Arts Award Explore log = the accreditation evidence, same day [E: Arts Award].</t>
  </si>
  <si>
    <t xml:space="preserve">Note who describes a sound and links it to a feeling vs who only names the instrument.  → Influence: the log builds toward Explore → Bronze/GCSE ladder; calibrated at moderation [NS].</t>
  </si>
  <si>
    <t xml:space="preserve">PE</t>
  </si>
  <si>
    <t xml:space="preserve">Careers / Vocational (ASDAN)</t>
  </si>
  <si>
    <t xml:space="preserve">Enrichment &amp; wider opportunities this week   (trips, visitors, themed days, SMSC calendar link, PfA / community)</t>
  </si>
  <si>
    <t xml:space="preserve">Mon: International Day of Peace assembly — belonging &amp; getting along.  Fri (26 Sep): European Day of Languages — celebrate different languages (tutor time).  Whole-school theme assembly: Identity &amp; Belonging.  PfA / community: a local walk — outdoor regulation, community access and a relaxed chance to talk.</t>
  </si>
  <si>
    <t xml:space="preserve">Resources &amp; support to prepare before the week   (printing, kit, bookings, briefing the team)</t>
  </si>
  <si>
    <t xml:space="preserve">Print: cells picture-label &amp; 'describe a cell' cards, people-bingo &amp; belonging-statement cards, migration event cards + timeline, Arts Award Explore log pages.  Kit: load Cells HTML; playdough / junk (+ optional jelly &amp; sweets — CHECK ALLERGIES &amp; food hygiene) for build-a-cell; giant cell outline &amp; part cards; clay / print &amp; mixed media for Art stations; magnifying glasses.  Brief TA on Pupil A (soft start, take-up time, sharing opt-out).  Confirm any RSHE parental agreement on file if used.</t>
  </si>
  <si>
    <t xml:space="preserve">F = formative  ·  S = summative  ·  PfA = Preparing for Adulthood  </t>
  </si>
  <si>
    <t xml:space="preserve">Student Adaptations</t>
  </si>
  <si>
    <t xml:space="preserve">Name</t>
  </si>
  <si>
    <t xml:space="preserve">Year / KS</t>
  </si>
  <si>
    <t xml:space="preserve">Reading age band</t>
  </si>
  <si>
    <t xml:space="preserve">Communication / sensory needs</t>
  </si>
  <si>
    <t xml:space="preserve">Key scaffolds &amp; adaptations</t>
  </si>
  <si>
    <t xml:space="preserve">EHCP primary outcomes</t>
  </si>
  <si>
    <t xml:space="preserve">PfA focus</t>
  </si>
  <si>
    <t xml:space="preserve">Notes</t>
  </si>
  <si>
    <t xml:space="preserve">Pupil A</t>
  </si>
  <si>
    <t xml:space="preserve">KS4</t>
  </si>
  <si>
    <t xml:space="preserve">Pupil B</t>
  </si>
  <si>
    <t xml:space="preserve">Pupil C</t>
  </si>
  <si>
    <t xml:space="preserve">Outcome Tracker </t>
  </si>
  <si>
    <t xml:space="preserve">Did everyone make progress and meet the outcome? </t>
  </si>
  <si>
    <t xml:space="preserve">GREEN</t>
  </si>
  <si>
    <t xml:space="preserve">All demonstrated progress &amp; achieved the outcome</t>
  </si>
  <si>
    <t xml:space="preserve">AMBER</t>
  </si>
  <si>
    <t xml:space="preserve">Partly met, revisit in class</t>
  </si>
  <si>
    <t xml:space="preserve">RED</t>
  </si>
  <si>
    <t xml:space="preserve">Not met, pick up through intervention</t>
  </si>
  <si>
    <t xml:space="preserve">Week (w/c)</t>
  </si>
  <si>
    <t xml:space="preserve">Outcome reviewed</t>
  </si>
  <si>
    <t xml:space="preserve">Marking / evidence</t>
  </si>
  <si>
    <t xml:space="preserve">RAG</t>
  </si>
  <si>
    <t xml:space="preserve">Students not yet secure</t>
  </si>
  <si>
    <t xml:space="preserve">Picked up via</t>
  </si>
  <si>
    <t xml:space="preserve">Action &amp; timescale</t>
  </si>
  <si>
    <t xml:space="preserve">I can describe how light travels and how we see things.</t>
  </si>
  <si>
    <t xml:space="preserve">Student has reviewed Autumn 1 work, completed or improved at least one piece of evidence, and agreed one realistic English/communication goal.</t>
  </si>
  <si>
    <t xml:space="preserve">This sheet:</t>
  </si>
  <si>
    <t xml:space="preserve">Green</t>
  </si>
  <si>
    <t xml:space="preserve">Amber</t>
  </si>
  <si>
    <t xml:space="preserve">Red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</si>
</sst>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@"/>
    <numFmt numFmtId="167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0"/>
      <color rgb="FF566159"/>
      <name val="Arial"/>
      <family val="0"/>
      <charset val="1"/>
    </font>
    <font>
      <b val="true"/>
      <sz val="9"/>
      <color rgb="FF566159"/>
      <name val="Arial"/>
      <family val="0"/>
      <charset val="1"/>
    </font>
    <font>
      <b val="true"/>
      <sz val="10"/>
      <color rgb="FF1B2420"/>
      <name val="Arial"/>
      <family val="0"/>
      <charset val="1"/>
    </font>
    <font>
      <b val="true"/>
      <sz val="10"/>
      <color rgb="FF2E7D4F"/>
      <name val="Arial"/>
      <family val="0"/>
      <charset val="1"/>
    </font>
    <font>
      <sz val="9"/>
      <color rgb="FF2E2A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B2420"/>
      <name val="Arial"/>
      <family val="0"/>
      <charset val="1"/>
    </font>
    <font>
      <b val="true"/>
      <sz val="9"/>
      <color theme="1"/>
      <name val="Arial"/>
      <family val="0"/>
      <charset val="1"/>
    </font>
    <font>
      <sz val="9"/>
      <color theme="1"/>
      <name val="Arial"/>
      <family val="0"/>
      <charset val="1"/>
    </font>
    <font>
      <sz val="9"/>
      <color rgb="FF1B2420"/>
      <name val="Arial"/>
      <family val="0"/>
      <charset val="1"/>
    </font>
    <font>
      <sz val="9"/>
      <color theme="1"/>
      <name val="Arial"/>
      <family val="2"/>
      <charset val="1"/>
    </font>
    <font>
      <sz val="9"/>
      <color rgb="FF222222"/>
      <name val="Aptos"/>
      <family val="2"/>
      <charset val="1"/>
    </font>
    <font>
      <sz val="9"/>
      <color rgb="FF1B2420"/>
      <name val="Arial"/>
      <family val="2"/>
      <charset val="1"/>
    </font>
    <font>
      <i val="true"/>
      <sz val="8"/>
      <color rgb="FF5661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6"/>
      <color rgb="FFFFFFFF"/>
      <name val="Arial"/>
      <family val="2"/>
      <charset val="1"/>
    </font>
    <font>
      <sz val="10"/>
      <name val="Arial"/>
      <family val="2"/>
      <charset val="1"/>
    </font>
    <font>
      <sz val="9"/>
      <name val="Arial"/>
      <family val="2"/>
      <charset val="1"/>
    </font>
    <font>
      <b val="true"/>
      <sz val="10"/>
      <color rgb="FFFFFFFF"/>
      <name val="Arial"/>
      <family val="0"/>
      <charset val="1"/>
    </font>
    <font>
      <sz val="8"/>
      <color rgb="FF56615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006E"/>
        <bgColor rgb="FF800080"/>
      </patternFill>
    </fill>
    <fill>
      <patternFill patternType="solid">
        <fgColor rgb="FFFBE3F0"/>
        <bgColor rgb="FFEFE9F2"/>
      </patternFill>
    </fill>
    <fill>
      <patternFill patternType="solid">
        <fgColor rgb="FFEFE9F2"/>
        <bgColor rgb="FFFBE3F0"/>
      </patternFill>
    </fill>
    <fill>
      <patternFill patternType="solid">
        <fgColor rgb="FFFFFFFF"/>
        <bgColor rgb="FFF4F7F3"/>
      </patternFill>
    </fill>
    <fill>
      <patternFill patternType="solid">
        <fgColor rgb="FFF4F7F3"/>
        <bgColor rgb="FFFFFFFF"/>
      </patternFill>
    </fill>
    <fill>
      <patternFill patternType="solid">
        <fgColor rgb="FF2E7D4F"/>
        <bgColor rgb="FF1F6F7A"/>
      </patternFill>
    </fill>
    <fill>
      <patternFill patternType="solid">
        <fgColor rgb="FFD9A227"/>
        <bgColor rgb="FFB8742A"/>
      </patternFill>
    </fill>
    <fill>
      <patternFill patternType="solid">
        <fgColor rgb="FFC0392B"/>
        <bgColor rgb="FF99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3CDC1"/>
      </bottom>
      <diagonal/>
    </border>
    <border diagonalUp="false" diagonalDown="false">
      <left style="thin">
        <color rgb="FFC9C9D6"/>
      </left>
      <right style="thin">
        <color rgb="FFC9C9D6"/>
      </right>
      <top style="thin">
        <color rgb="FFC9C9D6"/>
      </top>
      <bottom style="thin">
        <color rgb="FFC9C9D6"/>
      </bottom>
      <diagonal/>
    </border>
    <border diagonalUp="false" diagonalDown="false">
      <left style="thin">
        <color rgb="FFC3CDC1"/>
      </left>
      <right style="thin">
        <color rgb="FFC3CDC1"/>
      </right>
      <top style="thin">
        <color rgb="FFC3CDC1"/>
      </top>
      <bottom style="thin">
        <color rgb="FFC3CDC1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</font>
      <fill>
        <patternFill>
          <bgColor rgb="FF2E7D4F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B8742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1F6F7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D9A227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392B"/>
        </patternFill>
      </fill>
    </dxf>
  </dxfs>
  <colors>
    <indexedColors>
      <rgbColor rgb="FF000000"/>
      <rgbColor rgb="FFFFFFFF"/>
      <rgbColor rgb="FFD6006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42A"/>
      <rgbColor rgb="FF800080"/>
      <rgbColor rgb="FF1F6F7A"/>
      <rgbColor rgb="FFC3CDC1"/>
      <rgbColor rgb="FF808080"/>
      <rgbColor rgb="FF9999FF"/>
      <rgbColor rgb="FF993366"/>
      <rgbColor rgb="FFF4F7F3"/>
      <rgbColor rgb="FFEFE9F2"/>
      <rgbColor rgb="FF660066"/>
      <rgbColor rgb="FFFF8080"/>
      <rgbColor rgb="FF0066CC"/>
      <rgbColor rgb="FFC9C9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F0"/>
      <rgbColor rgb="FF3366FF"/>
      <rgbColor rgb="FF33CCCC"/>
      <rgbColor rgb="FF99CC00"/>
      <rgbColor rgb="FFFFCC00"/>
      <rgbColor rgb="FFD9A227"/>
      <rgbColor rgb="FFFF6600"/>
      <rgbColor rgb="FF566159"/>
      <rgbColor rgb="FF969696"/>
      <rgbColor rgb="FF003366"/>
      <rgbColor rgb="FF2E7D4F"/>
      <rgbColor rgb="FF1B2420"/>
      <rgbColor rgb="FF222222"/>
      <rgbColor rgb="FFC0392B"/>
      <rgbColor rgb="FF993366"/>
      <rgbColor rgb="FF333399"/>
      <rgbColor rgb="FF2E2A5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J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J10" activeCellId="0" sqref="J10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0"/>
    <col collapsed="false" customWidth="true" hidden="false" outlineLevel="0" max="4" min="3" style="1" width="26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26"/>
    <col collapsed="false" customWidth="true" hidden="false" outlineLevel="0" max="10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9.5" hidden="false" customHeight="true" outlineLevel="0" collapsed="false">
      <c r="A4" s="4" t="s">
        <v>2</v>
      </c>
      <c r="B4" s="5" t="s">
        <v>3</v>
      </c>
      <c r="D4" s="1" t="n">
        <v>8</v>
      </c>
      <c r="F4" s="4" t="s">
        <v>4</v>
      </c>
      <c r="G4" s="5" t="n">
        <v>8</v>
      </c>
    </row>
    <row r="5" customFormat="false" ht="19.5" hidden="false" customHeight="true" outlineLevel="0" collapsed="false">
      <c r="A5" s="4" t="s">
        <v>5</v>
      </c>
      <c r="B5" s="5" t="s">
        <v>6</v>
      </c>
      <c r="F5" s="4" t="s">
        <v>7</v>
      </c>
      <c r="G5" s="5" t="s">
        <v>8</v>
      </c>
    </row>
    <row r="6" customFormat="false" ht="19.5" hidden="false" customHeight="true" outlineLevel="0" collapsed="false">
      <c r="A6" s="4" t="s">
        <v>9</v>
      </c>
      <c r="B6" s="6" t="str">
        <f aca="false">IF(B5="Autumn","Identity &amp; Belonging",IF(B5="Spring","Resilience &amp; Change",IF(B5="Summer","Our World, My Future","pick a term")))</f>
        <v>Identity &amp; Belonging</v>
      </c>
      <c r="C6" s="6"/>
      <c r="D6" s="6"/>
      <c r="F6" s="4" t="s">
        <v>10</v>
      </c>
      <c r="G6" s="5"/>
    </row>
    <row r="7" customFormat="false" ht="19.5" hidden="false" customHeight="true" outlineLevel="0" collapsed="false">
      <c r="A7" s="4" t="s">
        <v>11</v>
      </c>
      <c r="B7" s="7" t="n">
        <v>46314</v>
      </c>
      <c r="F7" s="4" t="s">
        <v>12</v>
      </c>
      <c r="G7" s="5"/>
    </row>
    <row r="8" customFormat="false" ht="45.75" hidden="false" customHeight="true" outlineLevel="0" collapsed="false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</row>
    <row r="9" customFormat="false" ht="30" hidden="false" customHeight="true" outlineLevel="0" collapsed="false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20</v>
      </c>
      <c r="H9" s="9" t="s">
        <v>21</v>
      </c>
      <c r="I9" s="9" t="s">
        <v>22</v>
      </c>
      <c r="J9" s="9" t="s">
        <v>23</v>
      </c>
    </row>
    <row r="10" customFormat="false" ht="45.75" hidden="false" customHeight="true" outlineLevel="0" collapsed="false">
      <c r="A10" s="10" t="s">
        <v>24</v>
      </c>
      <c r="B10" s="11" t="s">
        <v>25</v>
      </c>
      <c r="C10" s="12" t="s">
        <v>26</v>
      </c>
      <c r="D10" s="12" t="s">
        <v>27</v>
      </c>
      <c r="E10" s="12" t="s">
        <v>28</v>
      </c>
      <c r="F10" s="12" t="s">
        <v>29</v>
      </c>
      <c r="G10" s="13" t="s">
        <v>30</v>
      </c>
      <c r="H10" s="12" t="s">
        <v>31</v>
      </c>
      <c r="I10" s="12" t="s">
        <v>32</v>
      </c>
      <c r="J10" s="12" t="s">
        <v>33</v>
      </c>
    </row>
    <row r="11" customFormat="false" ht="330" hidden="false" customHeight="true" outlineLevel="0" collapsed="false">
      <c r="A11" s="14" t="s">
        <v>34</v>
      </c>
      <c r="B11" s="15" t="s">
        <v>35</v>
      </c>
      <c r="C11" s="16" t="s">
        <v>36</v>
      </c>
      <c r="D11" s="15" t="s">
        <v>37</v>
      </c>
      <c r="E11" s="15" t="s">
        <v>38</v>
      </c>
      <c r="F11" s="15" t="s">
        <v>39</v>
      </c>
      <c r="G11" s="15" t="s">
        <v>30</v>
      </c>
      <c r="H11" s="15" t="s">
        <v>40</v>
      </c>
      <c r="I11" s="15" t="s">
        <v>41</v>
      </c>
      <c r="J11" s="15" t="s">
        <v>42</v>
      </c>
    </row>
    <row r="12" customFormat="false" ht="339.75" hidden="false" customHeight="true" outlineLevel="0" collapsed="false">
      <c r="A12" s="10" t="s">
        <v>43</v>
      </c>
      <c r="B12" s="13" t="s">
        <v>44</v>
      </c>
      <c r="C12" s="17" t="s">
        <v>45</v>
      </c>
      <c r="D12" s="13" t="s">
        <v>46</v>
      </c>
      <c r="E12" s="13" t="s">
        <v>47</v>
      </c>
      <c r="F12" s="13" t="s">
        <v>48</v>
      </c>
      <c r="G12" s="13" t="s">
        <v>49</v>
      </c>
      <c r="H12" s="13" t="s">
        <v>50</v>
      </c>
      <c r="I12" s="13" t="s">
        <v>51</v>
      </c>
      <c r="J12" s="13" t="s">
        <v>52</v>
      </c>
    </row>
    <row r="13" customFormat="false" ht="330" hidden="false" customHeight="true" outlineLevel="0" collapsed="false">
      <c r="A13" s="14" t="s">
        <v>53</v>
      </c>
      <c r="B13" s="15" t="s">
        <v>54</v>
      </c>
      <c r="C13" s="15" t="s">
        <v>55</v>
      </c>
      <c r="D13" s="15" t="s">
        <v>56</v>
      </c>
      <c r="E13" s="15" t="s">
        <v>57</v>
      </c>
      <c r="F13" s="15" t="s">
        <v>58</v>
      </c>
      <c r="G13" s="15" t="s">
        <v>59</v>
      </c>
      <c r="H13" s="15" t="s">
        <v>60</v>
      </c>
      <c r="I13" s="15" t="s">
        <v>61</v>
      </c>
      <c r="J13" s="15" t="s">
        <v>62</v>
      </c>
    </row>
    <row r="14" customFormat="false" ht="330" hidden="false" customHeight="true" outlineLevel="0" collapsed="false">
      <c r="A14" s="10" t="s">
        <v>63</v>
      </c>
      <c r="B14" s="13"/>
      <c r="C14" s="17" t="s">
        <v>64</v>
      </c>
      <c r="D14" s="13" t="s">
        <v>65</v>
      </c>
      <c r="E14" s="13" t="s">
        <v>66</v>
      </c>
      <c r="F14" s="13" t="s">
        <v>67</v>
      </c>
      <c r="G14" s="13" t="s">
        <v>68</v>
      </c>
      <c r="H14" s="13" t="s">
        <v>69</v>
      </c>
      <c r="I14" s="13" t="s">
        <v>70</v>
      </c>
      <c r="J14" s="13" t="s">
        <v>71</v>
      </c>
    </row>
    <row r="15" customFormat="false" ht="330" hidden="false" customHeight="true" outlineLevel="0" collapsed="false">
      <c r="A15" s="14" t="s">
        <v>72</v>
      </c>
      <c r="B15" s="13" t="s">
        <v>73</v>
      </c>
      <c r="C15" s="17" t="s">
        <v>74</v>
      </c>
      <c r="D15" s="13" t="s">
        <v>75</v>
      </c>
      <c r="E15" s="13" t="s">
        <v>76</v>
      </c>
      <c r="F15" s="13" t="s">
        <v>77</v>
      </c>
      <c r="G15" s="13" t="s">
        <v>30</v>
      </c>
      <c r="H15" s="13" t="s">
        <v>78</v>
      </c>
      <c r="I15" s="13" t="s">
        <v>79</v>
      </c>
      <c r="J15" s="13" t="s">
        <v>80</v>
      </c>
    </row>
    <row r="16" customFormat="false" ht="330" hidden="false" customHeight="true" outlineLevel="0" collapsed="false">
      <c r="A16" s="10" t="s">
        <v>81</v>
      </c>
      <c r="B16" s="13" t="s">
        <v>82</v>
      </c>
      <c r="C16" s="17" t="s">
        <v>83</v>
      </c>
      <c r="D16" s="13" t="s">
        <v>84</v>
      </c>
      <c r="E16" s="13" t="s">
        <v>85</v>
      </c>
      <c r="F16" s="13" t="s">
        <v>86</v>
      </c>
      <c r="G16" s="13" t="s">
        <v>30</v>
      </c>
      <c r="H16" s="13" t="s">
        <v>87</v>
      </c>
      <c r="I16" s="13" t="s">
        <v>88</v>
      </c>
      <c r="J16" s="13" t="s">
        <v>89</v>
      </c>
    </row>
    <row r="17" customFormat="false" ht="45.75" hidden="false" customHeight="true" outlineLevel="0" collapsed="false">
      <c r="A17" s="14" t="s">
        <v>90</v>
      </c>
      <c r="B17" s="15"/>
      <c r="C17" s="15"/>
      <c r="D17" s="15"/>
      <c r="E17" s="15"/>
      <c r="F17" s="15"/>
      <c r="G17" s="15"/>
      <c r="H17" s="15"/>
      <c r="I17" s="15"/>
      <c r="J17" s="15"/>
    </row>
    <row r="18" customFormat="false" ht="45.75" hidden="false" customHeight="true" outlineLevel="0" collapsed="false">
      <c r="A18" s="10" t="s">
        <v>91</v>
      </c>
      <c r="B18" s="13"/>
      <c r="C18" s="13"/>
      <c r="D18" s="13"/>
      <c r="E18" s="13"/>
      <c r="F18" s="13"/>
      <c r="G18" s="13"/>
      <c r="H18" s="13"/>
      <c r="I18" s="13"/>
      <c r="J18" s="13"/>
    </row>
    <row r="20" customFormat="false" ht="18" hidden="false" customHeight="true" outlineLevel="0" collapsed="false">
      <c r="A20" s="18" t="s">
        <v>92</v>
      </c>
      <c r="B20" s="18"/>
      <c r="C20" s="18"/>
      <c r="D20" s="18"/>
      <c r="E20" s="18"/>
      <c r="F20" s="18"/>
      <c r="G20" s="18"/>
      <c r="H20" s="18"/>
      <c r="I20" s="18"/>
      <c r="J20" s="18"/>
    </row>
    <row r="21" customFormat="false" ht="117.75" hidden="false" customHeight="true" outlineLevel="0" collapsed="false">
      <c r="A21" s="19" t="s">
        <v>93</v>
      </c>
      <c r="B21" s="19"/>
      <c r="C21" s="19"/>
      <c r="D21" s="19"/>
      <c r="E21" s="19"/>
      <c r="F21" s="19"/>
      <c r="G21" s="19"/>
      <c r="H21" s="19"/>
      <c r="I21" s="19"/>
      <c r="J21" s="19"/>
    </row>
    <row r="22" customFormat="false" ht="18" hidden="false" customHeight="true" outlineLevel="0" collapsed="false">
      <c r="A22" s="18" t="s">
        <v>94</v>
      </c>
      <c r="B22" s="18"/>
      <c r="C22" s="18"/>
      <c r="D22" s="18"/>
      <c r="E22" s="18"/>
      <c r="F22" s="18"/>
      <c r="G22" s="18"/>
      <c r="H22" s="18"/>
      <c r="I22" s="18"/>
      <c r="J22" s="18"/>
    </row>
    <row r="23" customFormat="false" ht="141.75" hidden="false" customHeight="true" outlineLevel="0" collapsed="false">
      <c r="A23" s="20" t="s">
        <v>95</v>
      </c>
      <c r="B23" s="20"/>
      <c r="C23" s="20"/>
      <c r="D23" s="20"/>
      <c r="E23" s="20"/>
      <c r="F23" s="20"/>
      <c r="G23" s="20"/>
      <c r="H23" s="20"/>
      <c r="I23" s="20"/>
      <c r="J23" s="20"/>
    </row>
    <row r="24" customFormat="false" ht="14.25" hidden="false" customHeight="true" outlineLevel="0" collapsed="false">
      <c r="A24" s="21" t="s">
        <v>96</v>
      </c>
      <c r="B24" s="21"/>
      <c r="C24" s="21"/>
      <c r="D24" s="21"/>
      <c r="E24" s="21"/>
      <c r="F24" s="21"/>
      <c r="G24" s="21"/>
      <c r="H24" s="21"/>
      <c r="I24" s="21"/>
      <c r="J24" s="21"/>
    </row>
  </sheetData>
  <mergeCells count="9">
    <mergeCell ref="A1:J1"/>
    <mergeCell ref="A2:J2"/>
    <mergeCell ref="B6:D6"/>
    <mergeCell ref="A8:J8"/>
    <mergeCell ref="A20:J20"/>
    <mergeCell ref="A21:J21"/>
    <mergeCell ref="A22:J22"/>
    <mergeCell ref="A23:J23"/>
    <mergeCell ref="A24:J24"/>
  </mergeCells>
  <dataValidations count="4">
    <dataValidation allowBlank="true" error="Pick a value from the list." errorStyle="stop" errorTitle="Choose from the list" operator="between" showDropDown="false" showErrorMessage="false" showInputMessage="false" sqref="B4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B5" type="list">
      <formula1>"Autumn,Spring,Summer"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A10:A18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G10:G18" type="list">
      <formula1>"F,S,F + 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0" activeCellId="0" sqref="H10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10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7" min="6" style="1" width="28"/>
    <col collapsed="false" customWidth="true" hidden="false" outlineLevel="0" max="8" min="8" style="1" width="18"/>
    <col collapsed="false" customWidth="true" hidden="false" outlineLevel="0" max="9" min="9" style="1" width="22"/>
  </cols>
  <sheetData>
    <row r="1" customFormat="false" ht="25.5" hidden="false" customHeight="true" outlineLevel="0" collapsed="false">
      <c r="A1" s="22" t="s">
        <v>97</v>
      </c>
      <c r="B1" s="22"/>
      <c r="C1" s="22"/>
      <c r="D1" s="22"/>
      <c r="E1" s="22"/>
      <c r="F1" s="22"/>
      <c r="G1" s="22"/>
      <c r="H1" s="22"/>
      <c r="I1" s="22"/>
    </row>
    <row r="2" customFormat="false" ht="14.2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4" customFormat="false" ht="27.75" hidden="false" customHeight="true" outlineLevel="0" collapsed="false">
      <c r="A4" s="9" t="s">
        <v>98</v>
      </c>
      <c r="B4" s="9" t="s">
        <v>2</v>
      </c>
      <c r="C4" s="9" t="s">
        <v>99</v>
      </c>
      <c r="D4" s="9" t="s">
        <v>100</v>
      </c>
      <c r="E4" s="9" t="s">
        <v>101</v>
      </c>
      <c r="F4" s="9" t="s">
        <v>102</v>
      </c>
      <c r="G4" s="9" t="s">
        <v>103</v>
      </c>
      <c r="H4" s="9" t="s">
        <v>104</v>
      </c>
      <c r="I4" s="9" t="s">
        <v>105</v>
      </c>
    </row>
    <row r="5" customFormat="false" ht="42" hidden="false" customHeight="true" outlineLevel="0" collapsed="false">
      <c r="A5" s="10" t="s">
        <v>106</v>
      </c>
      <c r="B5" s="13" t="s">
        <v>3</v>
      </c>
      <c r="C5" s="13" t="s">
        <v>107</v>
      </c>
      <c r="D5" s="23"/>
      <c r="E5" s="13"/>
      <c r="F5" s="12"/>
      <c r="G5" s="15"/>
      <c r="H5" s="13"/>
      <c r="I5" s="13"/>
    </row>
    <row r="6" customFormat="false" ht="42" hidden="false" customHeight="true" outlineLevel="0" collapsed="false">
      <c r="A6" s="14" t="s">
        <v>108</v>
      </c>
      <c r="B6" s="13" t="s">
        <v>3</v>
      </c>
      <c r="C6" s="15" t="s">
        <v>107</v>
      </c>
      <c r="D6" s="24"/>
      <c r="E6" s="15"/>
      <c r="F6" s="15"/>
      <c r="G6" s="15"/>
      <c r="H6" s="15"/>
      <c r="I6" s="15"/>
    </row>
    <row r="7" customFormat="false" ht="42" hidden="false" customHeight="true" outlineLevel="0" collapsed="false">
      <c r="A7" s="25" t="s">
        <v>109</v>
      </c>
      <c r="B7" s="26" t="s">
        <v>3</v>
      </c>
      <c r="C7" s="26" t="s">
        <v>107</v>
      </c>
      <c r="D7" s="27"/>
      <c r="E7" s="26"/>
      <c r="F7" s="26"/>
      <c r="G7" s="15"/>
      <c r="H7" s="26"/>
      <c r="I7" s="28"/>
    </row>
    <row r="8" customFormat="false" ht="30" hidden="false" customHeight="true" outlineLevel="0" collapsed="false">
      <c r="A8" s="26"/>
      <c r="B8" s="29"/>
      <c r="C8" s="26"/>
      <c r="D8" s="26"/>
      <c r="E8" s="26"/>
      <c r="F8" s="26"/>
      <c r="G8" s="26"/>
      <c r="H8" s="26"/>
      <c r="I8" s="26"/>
    </row>
    <row r="9" customFormat="false" ht="30" hidden="false" customHeight="true" outlineLevel="0" collapsed="false">
      <c r="A9" s="30"/>
      <c r="B9" s="30"/>
      <c r="C9" s="30"/>
      <c r="D9" s="30"/>
      <c r="E9" s="30"/>
      <c r="F9" s="30"/>
      <c r="G9" s="30"/>
      <c r="H9" s="30"/>
      <c r="I9" s="30"/>
    </row>
    <row r="10" customFormat="false" ht="30" hidden="false" customHeight="true" outlineLevel="0" collapsed="false">
      <c r="A10" s="26"/>
      <c r="B10" s="29"/>
      <c r="C10" s="26"/>
      <c r="D10" s="26"/>
      <c r="E10" s="26"/>
      <c r="F10" s="26"/>
      <c r="G10" s="26"/>
      <c r="H10" s="26"/>
      <c r="I10" s="26"/>
    </row>
    <row r="11" customFormat="false" ht="30" hidden="false" customHeight="true" outlineLevel="0" collapsed="false">
      <c r="A11" s="30"/>
      <c r="B11" s="30"/>
      <c r="C11" s="30"/>
      <c r="D11" s="30"/>
      <c r="E11" s="30"/>
      <c r="F11" s="30"/>
      <c r="G11" s="30"/>
      <c r="H11" s="30"/>
      <c r="I11" s="30"/>
    </row>
    <row r="12" customFormat="false" ht="30" hidden="false" customHeight="true" outlineLevel="0" collapsed="false">
      <c r="A12" s="26"/>
      <c r="B12" s="29"/>
      <c r="C12" s="26"/>
      <c r="D12" s="26"/>
      <c r="E12" s="26"/>
      <c r="F12" s="26"/>
      <c r="G12" s="26"/>
      <c r="H12" s="26"/>
      <c r="I12" s="26"/>
    </row>
    <row r="13" customFormat="false" ht="30" hidden="false" customHeight="true" outlineLevel="0" collapsed="false">
      <c r="A13" s="30"/>
      <c r="B13" s="30"/>
      <c r="C13" s="30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26"/>
      <c r="B14" s="29"/>
      <c r="C14" s="26"/>
      <c r="D14" s="26"/>
      <c r="E14" s="26"/>
      <c r="F14" s="26"/>
      <c r="G14" s="26"/>
      <c r="H14" s="26"/>
      <c r="I14" s="26"/>
    </row>
    <row r="15" customFormat="false" ht="30" hidden="false" customHeight="true" outlineLevel="0" collapsed="false">
      <c r="A15" s="30"/>
      <c r="B15" s="30"/>
      <c r="C15" s="30"/>
      <c r="D15" s="30"/>
      <c r="E15" s="30"/>
      <c r="F15" s="30"/>
      <c r="G15" s="30"/>
      <c r="H15" s="30"/>
      <c r="I15" s="30"/>
    </row>
    <row r="16" customFormat="false" ht="30" hidden="false" customHeight="true" outlineLevel="0" collapsed="false">
      <c r="A16" s="26"/>
      <c r="B16" s="29"/>
      <c r="C16" s="26"/>
      <c r="D16" s="26"/>
      <c r="E16" s="26"/>
      <c r="F16" s="26"/>
      <c r="G16" s="26"/>
      <c r="H16" s="26"/>
      <c r="I16" s="26"/>
    </row>
    <row r="17" customFormat="false" ht="30" hidden="false" customHeight="true" outlineLevel="0" collapsed="false">
      <c r="A17" s="30"/>
      <c r="B17" s="30"/>
      <c r="C17" s="30"/>
      <c r="D17" s="30"/>
      <c r="E17" s="30"/>
      <c r="F17" s="30"/>
      <c r="G17" s="30"/>
      <c r="H17" s="30"/>
      <c r="I17" s="30"/>
    </row>
    <row r="18" customFormat="false" ht="30" hidden="false" customHeight="true" outlineLevel="0" collapsed="false">
      <c r="A18" s="26"/>
      <c r="B18" s="29"/>
      <c r="C18" s="26"/>
      <c r="D18" s="26"/>
      <c r="E18" s="26"/>
      <c r="F18" s="26"/>
      <c r="G18" s="26"/>
      <c r="H18" s="26"/>
      <c r="I18" s="26"/>
    </row>
    <row r="19" customFormat="false" ht="30" hidden="false" customHeight="true" outlineLevel="0" collapsed="false">
      <c r="A19" s="30"/>
      <c r="B19" s="30"/>
      <c r="C19" s="30"/>
      <c r="D19" s="30"/>
      <c r="E19" s="30"/>
      <c r="F19" s="30"/>
      <c r="G19" s="30"/>
      <c r="H19" s="30"/>
      <c r="I19" s="30"/>
    </row>
  </sheetData>
  <mergeCells count="2">
    <mergeCell ref="A1:I1"/>
    <mergeCell ref="A2:I2"/>
  </mergeCells>
  <conditionalFormatting sqref="B5:B7">
    <cfRule type="cellIs" priority="2" operator="equal" aboveAverage="0" equalAverage="0" bottom="0" percent="0" rank="0" text="" dxfId="0">
      <formula>"BUILD"</formula>
    </cfRule>
    <cfRule type="cellIs" priority="3" operator="equal" aboveAverage="0" equalAverage="0" bottom="0" percent="0" rank="0" text="" dxfId="1">
      <formula>"GROW"</formula>
    </cfRule>
    <cfRule type="cellIs" priority="4" operator="equal" aboveAverage="0" equalAverage="0" bottom="0" percent="0" rank="0" text="" dxfId="2">
      <formula>"LAUNCH"</formula>
    </cfRule>
  </conditionalFormatting>
  <conditionalFormatting sqref="B8:B19">
    <cfRule type="cellIs" priority="5" operator="equal" aboveAverage="0" equalAverage="0" bottom="0" percent="0" rank="0" text="" dxfId="0">
      <formula>"BUILD"</formula>
    </cfRule>
    <cfRule type="cellIs" priority="6" operator="equal" aboveAverage="0" equalAverage="0" bottom="0" percent="0" rank="0" text="" dxfId="1">
      <formula>"GROW"</formula>
    </cfRule>
    <cfRule type="cellIs" priority="7" operator="equal" aboveAverage="0" equalAverage="0" bottom="0" percent="0" rank="0" text="" dxfId="2">
      <formula>"LAUNCH"</formula>
    </cfRule>
  </conditionalFormatting>
  <dataValidations count="1">
    <dataValidation allowBlank="true" error="Pick a value from the list." errorStyle="stop" errorTitle="Choose from the list" operator="between" showDropDown="false" showErrorMessage="false" showInputMessage="false" sqref="B5:B19" type="list">
      <formula1>"BUILD,GROW,LAUNCH"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006E"/>
    <pageSetUpPr fitToPage="fals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D12" activeCellId="0" sqref="D12"/>
    </sheetView>
  </sheetViews>
  <sheetFormatPr defaultColWidth="8.5703125" defaultRowHeight="14.2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28"/>
    <col collapsed="false" customWidth="true" hidden="false" outlineLevel="0" max="5" min="5" style="1" width="24"/>
    <col collapsed="false" customWidth="true" hidden="false" outlineLevel="0" max="6" min="6" style="1" width="9"/>
    <col collapsed="false" customWidth="true" hidden="false" outlineLevel="0" max="7" min="7" style="1" width="24"/>
    <col collapsed="false" customWidth="true" hidden="false" outlineLevel="0" max="8" min="8" style="1" width="18"/>
    <col collapsed="false" customWidth="true" hidden="false" outlineLevel="0" max="9" min="9" style="1" width="26"/>
  </cols>
  <sheetData>
    <row r="1" customFormat="false" ht="25.5" hidden="false" customHeight="true" outlineLevel="0" collapsed="false">
      <c r="A1" s="31" t="s">
        <v>110</v>
      </c>
      <c r="B1" s="31"/>
      <c r="C1" s="31"/>
      <c r="D1" s="31"/>
      <c r="E1" s="31"/>
      <c r="F1" s="31"/>
      <c r="G1" s="31"/>
      <c r="H1" s="31"/>
      <c r="I1" s="31"/>
    </row>
    <row r="2" customFormat="false" ht="14.25" hidden="false" customHeight="true" outlineLevel="0" collapsed="false">
      <c r="A2" s="32" t="s">
        <v>111</v>
      </c>
      <c r="B2" s="32"/>
      <c r="C2" s="32"/>
      <c r="D2" s="32"/>
      <c r="E2" s="32"/>
      <c r="F2" s="32"/>
      <c r="G2" s="32"/>
      <c r="H2" s="32"/>
      <c r="I2" s="32"/>
    </row>
    <row r="3" customFormat="false" ht="18" hidden="false" customHeight="true" outlineLevel="0" collapsed="false">
      <c r="A3" s="33" t="s">
        <v>112</v>
      </c>
      <c r="B3" s="34" t="s">
        <v>113</v>
      </c>
      <c r="C3" s="34"/>
      <c r="D3" s="35" t="s">
        <v>114</v>
      </c>
      <c r="E3" s="34" t="s">
        <v>115</v>
      </c>
      <c r="F3" s="34"/>
      <c r="G3" s="36" t="s">
        <v>116</v>
      </c>
      <c r="H3" s="34" t="s">
        <v>117</v>
      </c>
      <c r="I3" s="34"/>
    </row>
    <row r="5" customFormat="false" ht="27.75" hidden="false" customHeight="true" outlineLevel="0" collapsed="false">
      <c r="A5" s="9" t="s">
        <v>118</v>
      </c>
      <c r="B5" s="9" t="s">
        <v>2</v>
      </c>
      <c r="C5" s="9" t="s">
        <v>14</v>
      </c>
      <c r="D5" s="9" t="s">
        <v>119</v>
      </c>
      <c r="E5" s="9" t="s">
        <v>120</v>
      </c>
      <c r="F5" s="9" t="s">
        <v>121</v>
      </c>
      <c r="G5" s="9" t="s">
        <v>122</v>
      </c>
      <c r="H5" s="9" t="s">
        <v>123</v>
      </c>
      <c r="I5" s="9" t="s">
        <v>124</v>
      </c>
    </row>
    <row r="6" customFormat="false" ht="30" hidden="false" customHeight="true" outlineLevel="0" collapsed="false">
      <c r="A6" s="37" t="n">
        <v>46314</v>
      </c>
      <c r="B6" s="13" t="s">
        <v>3</v>
      </c>
      <c r="C6" s="13" t="s">
        <v>43</v>
      </c>
      <c r="D6" s="13" t="s">
        <v>125</v>
      </c>
      <c r="E6" s="13"/>
      <c r="F6" s="13"/>
      <c r="G6" s="13"/>
      <c r="H6" s="13"/>
      <c r="I6" s="13"/>
    </row>
    <row r="7" customFormat="false" ht="30" hidden="false" customHeight="true" outlineLevel="0" collapsed="false">
      <c r="A7" s="37" t="n">
        <v>46314</v>
      </c>
      <c r="B7" s="13" t="s">
        <v>3</v>
      </c>
      <c r="C7" s="13" t="s">
        <v>53</v>
      </c>
      <c r="D7" s="13" t="s">
        <v>55</v>
      </c>
      <c r="E7" s="13"/>
      <c r="F7" s="13"/>
      <c r="G7" s="13"/>
      <c r="H7" s="13"/>
      <c r="I7" s="13"/>
    </row>
    <row r="8" customFormat="false" ht="30" hidden="false" customHeight="true" outlineLevel="0" collapsed="false">
      <c r="A8" s="37" t="n">
        <v>46314</v>
      </c>
      <c r="B8" s="13" t="s">
        <v>3</v>
      </c>
      <c r="C8" s="13" t="s">
        <v>72</v>
      </c>
      <c r="D8" s="13" t="s">
        <v>74</v>
      </c>
      <c r="E8" s="13"/>
      <c r="F8" s="13"/>
      <c r="G8" s="13"/>
      <c r="H8" s="13"/>
      <c r="I8" s="13"/>
    </row>
    <row r="9" customFormat="false" ht="30" hidden="false" customHeight="true" outlineLevel="0" collapsed="false">
      <c r="A9" s="37" t="n">
        <v>46314</v>
      </c>
      <c r="B9" s="13" t="s">
        <v>3</v>
      </c>
      <c r="C9" s="13" t="s">
        <v>81</v>
      </c>
      <c r="D9" s="13" t="s">
        <v>83</v>
      </c>
      <c r="E9" s="13"/>
      <c r="F9" s="13"/>
      <c r="G9" s="13"/>
      <c r="H9" s="13"/>
      <c r="I9" s="13"/>
    </row>
    <row r="10" customFormat="false" ht="30" hidden="false" customHeight="true" outlineLevel="0" collapsed="false">
      <c r="A10" s="37" t="n">
        <v>46314</v>
      </c>
      <c r="B10" s="13" t="s">
        <v>3</v>
      </c>
      <c r="C10" s="26" t="s">
        <v>34</v>
      </c>
      <c r="D10" s="16" t="s">
        <v>36</v>
      </c>
      <c r="E10" s="26"/>
      <c r="F10" s="29"/>
      <c r="G10" s="26"/>
      <c r="H10" s="29"/>
      <c r="I10" s="26"/>
    </row>
    <row r="11" customFormat="false" ht="30" hidden="false" customHeight="true" outlineLevel="0" collapsed="false">
      <c r="A11" s="37" t="n">
        <v>46314</v>
      </c>
      <c r="B11" s="13" t="s">
        <v>3</v>
      </c>
      <c r="C11" s="38" t="s">
        <v>63</v>
      </c>
      <c r="D11" s="17" t="s">
        <v>64</v>
      </c>
      <c r="E11" s="30"/>
      <c r="F11" s="30"/>
      <c r="G11" s="30"/>
      <c r="H11" s="30"/>
      <c r="I11" s="30"/>
    </row>
    <row r="12" customFormat="false" ht="30" hidden="false" customHeight="true" outlineLevel="0" collapsed="false">
      <c r="A12" s="37" t="n">
        <v>46314</v>
      </c>
      <c r="B12" s="13" t="s">
        <v>3</v>
      </c>
      <c r="C12" s="38" t="s">
        <v>24</v>
      </c>
      <c r="D12" s="12" t="s">
        <v>126</v>
      </c>
      <c r="E12" s="26"/>
      <c r="F12" s="29"/>
      <c r="G12" s="26"/>
      <c r="H12" s="29"/>
      <c r="I12" s="26"/>
    </row>
    <row r="13" customFormat="false" ht="30" hidden="false" customHeight="true" outlineLevel="0" collapsed="false">
      <c r="A13" s="30"/>
      <c r="B13" s="30"/>
      <c r="C13" s="38"/>
      <c r="D13" s="30"/>
      <c r="E13" s="30"/>
      <c r="F13" s="30"/>
      <c r="G13" s="30"/>
      <c r="H13" s="30"/>
      <c r="I13" s="30"/>
    </row>
    <row r="14" customFormat="false" ht="30" hidden="false" customHeight="true" outlineLevel="0" collapsed="false">
      <c r="A14" s="26"/>
      <c r="B14" s="29"/>
      <c r="C14" s="26"/>
      <c r="D14" s="26"/>
      <c r="E14" s="26"/>
      <c r="F14" s="29"/>
      <c r="G14" s="26"/>
      <c r="H14" s="29"/>
      <c r="I14" s="26"/>
    </row>
    <row r="15" customFormat="false" ht="25.5" hidden="false" customHeight="true" outlineLevel="0" collapsed="false">
      <c r="A15" s="30"/>
      <c r="B15" s="30"/>
      <c r="C15" s="38"/>
      <c r="D15" s="30"/>
      <c r="E15" s="30"/>
      <c r="F15" s="30"/>
      <c r="G15" s="30"/>
      <c r="H15" s="30"/>
      <c r="I15" s="30"/>
    </row>
    <row r="16" customFormat="false" ht="25.5" hidden="false" customHeight="true" outlineLevel="0" collapsed="false">
      <c r="A16" s="26"/>
      <c r="B16" s="29"/>
      <c r="C16" s="26"/>
      <c r="D16" s="26"/>
      <c r="E16" s="26"/>
      <c r="F16" s="29"/>
      <c r="G16" s="26"/>
      <c r="H16" s="29"/>
      <c r="I16" s="26"/>
    </row>
    <row r="17" customFormat="false" ht="25.5" hidden="false" customHeight="true" outlineLevel="0" collapsed="false">
      <c r="A17" s="30"/>
      <c r="B17" s="30"/>
      <c r="C17" s="38"/>
      <c r="D17" s="30"/>
      <c r="E17" s="30"/>
      <c r="F17" s="30"/>
      <c r="G17" s="30"/>
      <c r="H17" s="30"/>
      <c r="I17" s="30"/>
    </row>
    <row r="18" customFormat="false" ht="25.5" hidden="false" customHeight="true" outlineLevel="0" collapsed="false">
      <c r="A18" s="26"/>
      <c r="B18" s="29"/>
      <c r="C18" s="26"/>
      <c r="D18" s="26"/>
      <c r="E18" s="26"/>
      <c r="F18" s="29"/>
      <c r="G18" s="26"/>
      <c r="H18" s="29"/>
      <c r="I18" s="26"/>
    </row>
    <row r="19" customFormat="false" ht="25.5" hidden="false" customHeight="true" outlineLevel="0" collapsed="false">
      <c r="A19" s="30"/>
      <c r="B19" s="30"/>
      <c r="C19" s="38"/>
      <c r="D19" s="30"/>
      <c r="E19" s="30"/>
      <c r="F19" s="30"/>
      <c r="G19" s="30"/>
      <c r="H19" s="30"/>
      <c r="I19" s="30"/>
    </row>
    <row r="20" customFormat="false" ht="25.5" hidden="false" customHeight="true" outlineLevel="0" collapsed="false">
      <c r="A20" s="26"/>
      <c r="B20" s="29"/>
      <c r="C20" s="26"/>
      <c r="D20" s="26"/>
      <c r="E20" s="26"/>
      <c r="F20" s="29"/>
      <c r="G20" s="26"/>
      <c r="H20" s="29"/>
      <c r="I20" s="26"/>
    </row>
    <row r="21" customFormat="false" ht="25.5" hidden="false" customHeight="true" outlineLevel="0" collapsed="false">
      <c r="A21" s="30"/>
      <c r="B21" s="30"/>
      <c r="C21" s="38"/>
      <c r="D21" s="30"/>
      <c r="E21" s="30"/>
      <c r="F21" s="30"/>
      <c r="G21" s="30"/>
      <c r="H21" s="30"/>
      <c r="I21" s="30"/>
    </row>
    <row r="22" customFormat="false" ht="25.5" hidden="false" customHeight="true" outlineLevel="0" collapsed="false"/>
    <row r="23" customFormat="false" ht="25.5" hidden="false" customHeight="true" outlineLevel="0" collapsed="false">
      <c r="C23" s="39" t="s">
        <v>127</v>
      </c>
      <c r="D23" s="40" t="n">
        <f aca="false">COUNTIF($F$6:$F$18,"Green")</f>
        <v>0</v>
      </c>
      <c r="E23" s="41" t="n">
        <f aca="false">COUNTIF($F$6:$F$18,"Amber")</f>
        <v>0</v>
      </c>
      <c r="F23" s="42" t="n">
        <f aca="false">COUNTIF($F$6:$F$18,"Red")</f>
        <v>0</v>
      </c>
    </row>
    <row r="24" customFormat="false" ht="25.5" hidden="false" customHeight="true" outlineLevel="0" collapsed="false">
      <c r="D24" s="43" t="s">
        <v>128</v>
      </c>
      <c r="E24" s="43" t="s">
        <v>129</v>
      </c>
      <c r="F24" s="43" t="s">
        <v>130</v>
      </c>
    </row>
    <row r="25" customFormat="false" ht="25.5" hidden="false" customHeight="true" outlineLevel="0" collapsed="false"/>
    <row r="26" customFormat="false" ht="25.5" hidden="false" customHeight="true" outlineLevel="0" collapsed="false"/>
  </sheetData>
  <mergeCells count="5">
    <mergeCell ref="A1:I1"/>
    <mergeCell ref="A2:I2"/>
    <mergeCell ref="B3:C3"/>
    <mergeCell ref="E3:F3"/>
    <mergeCell ref="H3:I3"/>
  </mergeCells>
  <conditionalFormatting sqref="F6:F2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3">
      <formula>"Amber"</formula>
    </cfRule>
    <cfRule type="cellIs" priority="4" operator="equal" aboveAverage="0" equalAverage="0" bottom="0" percent="0" rank="0" text="" dxfId="4">
      <formula>"Red"</formula>
    </cfRule>
  </conditionalFormatting>
  <dataValidations count="4">
    <dataValidation allowBlank="true" error="Pick a value from the list." errorStyle="stop" errorTitle="Choose from the list" operator="between" showDropDown="false" showErrorMessage="false" showInputMessage="false" sqref="B6:B26" type="list">
      <formula1>"BUILD,GROW,LAUNCH"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C6:C26" type="list">
      <formula1>"English,Maths,Science,PSHE / RSE,RE,Humanities,Arts (Arts Award),PE,Careers / Vocational (ASDAN),Computing / Digital,Personal Development / PfA"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F6:F26" type="list">
      <formula1>"Green,Amber,Red"</formula1>
      <formula2>0</formula2>
    </dataValidation>
    <dataValidation allowBlank="true" error="Pick a value from the list." errorStyle="stop" errorTitle="Choose from the list" operator="between" showDropDown="false" showErrorMessage="false" showInputMessage="false" sqref="H6:H26" type="list">
      <formula1>"Achieved (move on),Revisit in class,Intervention"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2026-06-22T07:46:21Z</dcterms:created>
  <dc:creator>openpyxl</dc:creator>
  <dc:description/>
  <dc:language>en-US</dc:language>
  <cp:lastModifiedBy>Hanna Kemp</cp:lastModifiedBy>
  <dcterms:modified xsi:type="dcterms:W3CDTF">2026-07-15T11:04:51Z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0x0101002C6E38C4B2056147BFEE88C7F682B392</vt:lpwstr>
  </property>
  <property fmtid="{D5CDD505-2E9C-101B-9397-08002B2CF9AE}" pid="3" name="MediaServiceImageTags">
    <vt:lpwstr/>
  </property>
</Properties>
</file>