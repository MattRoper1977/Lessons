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<sst xmlns="http://schemas.openxmlformats.org/spreadsheetml/2006/main" count="161" uniqueCount="128">
  <si>
    <t xml:space="preserve">Weekly Planner - To be submitted to Head of School prior to the start of each Half-Term</t>
  </si>
  <si>
    <t xml:space="preserve">Progress Schools  ·  linked to the 2026/27 Schemes of Work</t>
  </si>
  <si>
    <t xml:space="preserve">Pathway</t>
  </si>
  <si>
    <t xml:space="preserve">GROW</t>
  </si>
  <si>
    <t xml:space="preserve">Week no.</t>
  </si>
  <si>
    <t xml:space="preserve">Term</t>
  </si>
  <si>
    <t xml:space="preserve">Autumn</t>
  </si>
  <si>
    <t xml:space="preserve">Group / class</t>
  </si>
  <si>
    <t xml:space="preserve">Theme</t>
  </si>
  <si>
    <t xml:space="preserve">Teacher</t>
  </si>
  <si>
    <t xml:space="preserve">Week commencing</t>
  </si>
  <si>
    <t xml:space="preserve">Reviewed by</t>
  </si>
  <si>
    <t xml:space="preserve">SMSC/BV this week: BHM continues — Grow PSHE W6's stereotype-smash lands squarely in it.  World Mental Health Day Sat 10 Oct — observe Fri 9; ⚠ handle with care (§8.4: advance flag, opt-out, known-adult check-in) — assembly-led, classroom framing kept light.  Hate Crime Awareness Week may fall this week (tbc).  EVIDENCE: assembly print + EFL: PfA/citizenship; care protocol logged → log in the SMSC Evidence Tracker.</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</si>
  <si>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</si>
  <si>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</si>
  <si>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</si>
  <si>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</si>
  <si>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</si>
  <si>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</si>
  <si>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</si>
  <si>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</si>
  <si>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</si>
  <si>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</si>
  <si>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</si>
  <si>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Identity in fiction &amp; life writing: spoken-word poetry and Black History Month personal response.</t>
  </si>
  <si>
    <t xml:space="preserve">I can respond personally to a poem or spoken-word text about identity and belonging.</t>
  </si>
  <si>
    <t xml:space="preserve">Arrival task: emotion word bank → listen/read 'Refugees' or BHM-linked poem/extract → discuss first impressions → identify one powerful word/line → students complete personal response: 'This makes me think/feel...' → optional spoken response.</t>
  </si>
  <si>
    <t xml:space="preserve">poem, spoken word, response, feeling, line, viewpoint, belonging</t>
  </si>
  <si>
    <t xml:space="preserve">Refugees' by Brian Bilston; BHM-linked extracts; audio/video where appropriate; response frame; emotion vocabulary mat.</t>
  </si>
  <si>
    <t xml:space="preserve">F</t>
  </si>
  <si>
    <t xml:space="preserve">Listen as well as read; avoid forced personal disclosure; use distancing language; sentence stems; option to draw/annotate before writing.</t>
  </si>
  <si>
    <t xml:space="preserve">TA supports emotional safety and vocabulary. Teacher keeps discussion structured and collects short personal responses for reading evidence.
LOOP [Feedback Policy]: Voice = short margin edit / re-attempt [//, I/WS] → Audience: read the edit and name the change before adding [R]; one next step [NS] → EVIDENCE: coded book edit; clips for oracy [E: literacy] — live; deferred response only for extended writing.</t>
  </si>
  <si>
    <t xml:space="preserve">To complete after teaching: note who can give a personal response and any texts/topics that affected regulation.  → Influence: shapes the next scaffold and the half-termly plan; SPaG routes to spelling intervention, not margin marking [NS].</t>
  </si>
  <si>
    <t xml:space="preserve">Maths</t>
  </si>
  <si>
    <t xml:space="preserve">
Place value &amp; the four operations</t>
  </si>
  <si>
    <t xml:space="preserve">I can estimate and check answers in real-life contexts to find the best value.</t>
  </si>
  <si>
    <t xml:space="preserve">Estimate costs before completing calculations.
Round numbers to make sensible estimates.
Check answers for accuracy using mental maths, inverse operations and calculators.
Compare prices, quantities and special offers to identify best value.
Solve real-life shopping and budgeting problems.
Interpret price lists, catalogues and promotional offers.
Explain how estimates can help make informed financial decisions.
Complete fluency, reasoning and problem-solving activities involving best value.
Best-buy battle with real supermarket multipacks: estimate FIRST, calculate to check, then defend your choice to the group — estimation as a life skill (GCSE bridge: the unitary method).</t>
  </si>
  <si>
    <t xml:space="preserve">Estimate
Approximate
Round
Check
Accuracy
Best value
Compare
Cost
Price
Offer
Discount
Budget
Total
Calculation
Reasonable
Savings
Value for money
Verify</t>
  </si>
  <si>
    <t xml:space="preserve">Shopping catalogues and price lists
Supermarket comparison activities
Calculators
Whiteboards and pens
Real supermarket multipacks and price labels
Real-life receipts and advertisements
Budget planning templates
Interactive whiteboard resources
Vocabulary mats
Best-value scenario cards</t>
  </si>
  <si>
    <t xml:space="preserve">Use practical and familiar examples involving shopping and spending.
Provide rounding guides and estimation prompts.
Use visual supports to compare prices and offers.
Break problems into clear, manageable steps.
Provide worked examples and vocabulary mats.
Allow calculator use where appropriate.
Offer additional adult support and guided practice.
Extend learning through multi-step comparison and budgeting tasks.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</si>
  <si>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Teacher modelling of estimation and checking strategies.
Guided practice using real-life financial scenarios.
Regular reinforcement of mathematical and financial vocabulary.
Visual aids and practical resources available throughout lessons.
Targeted questioning to develop reasoning and decision-making skills.
Ongoing assessment through discussion, observation and problem-solving activities.
Positive feedback and opportunities for collaborative learning and peer support.
LOOP [Feedback Policy]: Voice = mini-whiteboard show-me / re-do, verbal reply [VF, I] → Audience: name the corrected step back and tick the success criteria; [R] on an accurate re-do → EVIDENCE: photo of the practical proof + book note, same day [E: numeracy/vocational — daily EFL].</t>
  </si>
  <si>
    <t xml:space="preserve">Influence: next task adapted; who needs the method re-modelled shapes grouping and the half-termly plan [NS].</t>
  </si>
  <si>
    <t xml:space="preserve">Science</t>
  </si>
  <si>
    <t xml:space="preserve">Forces &amp; Earth in space (WRS Y5/6) — mechanisms: levers, pulleys &amp; gears · ELC 8939 · SoW Aut1·W6  [REALIGNED]</t>
  </si>
  <si>
    <t xml:space="preserve">I can show how a lever, pulley or gear lets a smaller force do a bigger job.</t>
  </si>
  <si>
    <t xml:space="preserve">Arrival: try to lift the load by hand — too heavy → now try with the lever. I DO: model the lever (effort, load, pivot) — move the pivot, feel it change. WE DO: build a pulley together and lift the same load. YOU DO: circuit — lever · pulley · gears; record 'easy / hard' and what changed. EXIT: 'The lever helped because…'  STRETCH: where is a lever in your body? (arm — elbow is the pivot) — links to BUILD's skeleton work in the same room.  MISCONCEPTION (strike through): machines do NOT make force from nothing — you move further instead.</t>
  </si>
  <si>
    <t xml:space="preserve">mechanism, lever, pivot, effort, load, pulley, gear, force, easier, distance</t>
  </si>
  <si>
    <t xml:space="preserve">Lever kit + pivots; pulley + hooks; gear set (or bike); weights; easy/hard recording strip; body-lever picture (elbow); word mat; camera.</t>
  </si>
  <si>
    <t xml:space="preserve">Pure kinaesthetic week — the hands feel the science before any word is used. Recording is easy/hard ticks. Pupil A: back-row seat, never questioned on the spot; sentence starters, checklists and the word bank; extra time for neat presentation. High-success week by design, placed after two demanding fair tests.</t>
  </si>
  <si>
    <t xml:space="preserve">TA runs the pulley station. Teacher lets every pupil FEEL the difference with and without the machine — the felt contrast is the lesson.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</si>
  <si>
    <t xml:space="preserve">Note who explains 'easier' in terms of force rather than magic.  → Influence: the elbow-lever link is the bridge to BUILD's muscles/bones week — worth a shared plenary [NS].</t>
  </si>
  <si>
    <t xml:space="preserve">PSHE / RSE</t>
  </si>
  <si>
    <t xml:space="preserve">Identity, rights &amp; British values (PSHE Association KS3 + ACT) · AQA UAS 'Rights &amp; responsibilities' · SoW Aut1·W6</t>
  </si>
  <si>
    <t xml:space="preserve">I can challenge a stereotype and disagree respectfully.</t>
  </si>
  <si>
    <t xml:space="preserve">Stereotype smash: 'guess who' profile reveals that defy assumptions (jobs, hobbies, backgrounds) → human barometer round 2 — agree/disagree statements with respectful-disagreement stems ('I see it differently because…') → make a split-image 'don't judge' poster or 10-second video.  Links Black History Month and the Humanities migration unit.  EVIDENCE: posters/videos (AQA UAS).  GCSE STRETCH: are 'tolerance' and 'respect' the same thing?</t>
  </si>
  <si>
    <t xml:space="preserve">stereotype, respect, tolerance, assumption, challenge, evidence</t>
  </si>
  <si>
    <t xml:space="preserve">Guess-who profile cards; barometer floor line; disagreement stems; poster/video materials; camera.</t>
  </si>
  <si>
    <t xml:space="preserve">Barometer is whole-body — opinions shown by standing, not speaking, unless pupils choose to; stems remove the fear of saying it wrong.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</si>
  <si>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models a respectful disagreement first; teacher keeps the barometer moving and affirms every position honestly held; the posters/videos are the evidence.
LOOP [Feedback Policy]: Voice = campaign video / freeze-frame / card + verbal reply [VF] → Audience: name the strength back + one [NS]; listen to clips fully before tagging, then [R] → EVIDENCE: video/card photo to EFL, same day [E: PfA/citizenship/social enterprise — daily EFL].</t>
  </si>
  <si>
    <t xml:space="preserve">Influence: the W7 pitch shapes the W8 real action; outcomes feed APDR and the citizenship ladder [NS].</t>
  </si>
  <si>
    <t xml:space="preserve">RE</t>
  </si>
  <si>
    <t xml:space="preserve">Belief, festivals &amp; belonging (Geography, Kapow + RE)</t>
  </si>
  <si>
    <t xml:space="preserve">I can compare festivals of light respectfully and explain their similarities and differences.</t>
  </si>
  <si>
    <t xml:space="preserve">Festival face-off (respectful!): a giant floor grid — rows: light / story / food / values — teams place photo cards from Diwali, Hanukkah and Christmas into the right cells → stand back: say the similarities out loud → build the shared 'Festivals of Light' display wall from the three weeks' makes and photos.  EVIDENCE: completed grid photo + display wall (AQA UAS).  GCSE STRETCH: say or write one 'Similarly, …' comparison sentence — the GCSE RS comparison skill.</t>
  </si>
  <si>
    <t xml:space="preserve">Festival
Light
Diwali
Hanukkah
Christmas
Hinduism
Judaism
Christianity
Tradition
Celebration
Belief
Symbol
Community
Respect
Similarities
Differences
Faith
Hope
Peace</t>
  </si>
  <si>
    <t xml:space="preserve">Giant floor grid (taped) with symbol-labelled rows; photo cards from Weeks 3–5; display wall space; camera.</t>
  </si>
  <si>
    <t xml:space="preserve">Whole-body sorting; comparisons spoken; the display celebrates their own makes, not stock images.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</si>
  <si>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reads cards and prompts 'which festival?'; teacher pulls the similarities together at the grid — live feedback; the wall photo is the evidence.
LOOP [Feedback Policy]: Voice = defended bid / make + spoken reason / W5 paragraph [VF, //] → Audience: name the comparison back; for the W5 write, one [NS] then response time; [R] after received → EVIDENCE: photo of make/web + W5 paragraph in book [E: RE/enrichment] — W5 deferred.</t>
  </si>
  <si>
    <t xml:space="preserve">Influence: who compares vs describes shapes next week's stem and the half-termly plan [NS].</t>
  </si>
  <si>
    <t xml:space="preserve">Humanities</t>
  </si>
  <si>
    <t xml:space="preserve">Kapow History — plan a structured account using evidence. Mirrors English structure work so scaffolds are shared, not re-taught.</t>
  </si>
  <si>
    <t xml:space="preserve">I can plan a short account about migration using two pieces of evidence.</t>
  </si>
  <si>
    <t xml:space="preserve">Arrival task: order a jumbled 3-part account (beginning/middle/end) → model 'First… Then… This meant…' with one source → we do: plan the first two boxes together using the class sources → you do: complete a picture-supported planning grid choosing 2 sources from earlier weeks → exit: read your first sentence to the TA.  DIFFERENTIATION (9-year reading-age spread): FLOOR (Pupil C, dyslexia, reading ~7) — pre-printed planning grid on blue paper with a word bank and 'First… / Then… / This meant…' frames; he voice-notes or scribes his two ideas first, THEN writes the key words himself (developing writing, not bypassing it); printed model, never copied from the board.  CEILING (Pupil B, reading ~16) — plans a fuller account from THREE sources and adds a 'why this matters' line; his support is structure (chunked checklist), NOT reading help.  Pupil A — sentence starters + presentation time; reads to the TA privately, never to the group.</t>
  </si>
  <si>
    <t xml:space="preserve">account, plan, structure, evidence, source, first, then, because, this meant, migration</t>
  </si>
  <si>
    <t xml:space="preserve">Jumbled account strips; picture-supported planning grid; sources from Weeks 3-5; connective mat (shared with English); magenta copies; word bank.</t>
  </si>
  <si>
    <t xml:space="preserve">Planning grid + connective mat (shared with English so structure is met once). Reuses familiar sources — no new reading. Verbal rehearsal before writing; reduced length; scribe option.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</si>
  <si>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prompts 'what happened first? what did it mean?'; teacher mirrors the English structure language and models slotting one source into a box.
LOOP [Feedback Policy]: Voice = source verdict / timeline placement / short account [//, I] → Audience: read against the success criteria and name the change; [R] after received → EVIDENCE: coded book + enquiry photos [E: humanities] — deferred for the written account.</t>
  </si>
  <si>
    <t xml:space="preserve">Note who uses evidence in the plan vs who retells; flag pupils needing the connective mat.  → Influence: the source-use skill shapes the next enquiry's scaffold [NS].</t>
  </si>
  <si>
    <t xml:space="preserve">Arts (Arts Award)</t>
  </si>
  <si>
    <t xml:space="preserve">Trinity Arts Award Explore — research an artist who inspires me; arts log.</t>
  </si>
  <si>
    <t xml:space="preserve">I can find out about one artist and record two facts and one opinion.</t>
  </si>
  <si>
    <t xml:space="preserve">Arrival task: 'which speaks to you?' — pick 1 of 3 projected works → model noting 2 facts + 1 opinion → we do: research one artist together and fill the log frame → you do: choose an artist from a picture-supported menu (incl. a light/installation artist) and complete the log page → exit: share one fact with a partner or the TA.</t>
  </si>
  <si>
    <t xml:space="preserve">artist, research, inspiration, fact, opinion, medium, technique, influence, arts log</t>
  </si>
  <si>
    <t xml:space="preserve">Picture-supported artist menu (incl. a light/neon installation artist); short pre-saved profiles; log frame (2 facts + 1 opinion); magenta copies; device for a digital log.</t>
  </si>
  <si>
    <t xml:space="preserve">Curated picture menu (choice, no open searching); log is short and structured. Verbal opinion accepted and scribed; word bank; images do the heavy lifting, not text. Banks Explore evidence.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</si>
  <si>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separating fact from opinion; teacher models one entry; screenshot/photo the log for the portfolio.
LOOP [Feedback Policy]: Voice = make + arts-log photo + comment [VF] → Audience: listen fully before tagging, one next technique [NS]; then [R] → EVIDENCE: Arts Award Explore log = the accreditation evidence, same day [E: Arts Award].</t>
  </si>
  <si>
    <t xml:space="preserve">Note who separates fact from opinion; check dated, portfolio-ready evidence.  → Influence: the log builds toward Explore → Bronze/GCSE ladder; calibrated at moderation [NS].</t>
  </si>
  <si>
    <t xml:space="preserve">PE</t>
  </si>
  <si>
    <t xml:space="preserve">Careers / Vocational (ASDAN)</t>
  </si>
  <si>
    <t xml:space="preserve">Enrichment &amp; wider opportunities this week   (trips, visitors, themed days, SMSC calendar link, PfA / community)</t>
  </si>
  <si>
    <t xml:space="preserve">Mon: International Day of Peace assembly — belonging &amp; getting along.  Fri (26 Sep): European Day of Languages — celebrate different languages (tutor time).  Whole-school theme assembly: Identity &amp; Belonging.  PfA / community: a local walk — outdoor regulation, community access and a relaxed chance to talk.</t>
  </si>
  <si>
    <t xml:space="preserve">Resources &amp; support to prepare before the week   (printing, kit, bookings, briefing the team)</t>
  </si>
  <si>
    <t xml:space="preserve">Print: cells picture-label &amp; 'describe a cell' cards, people-bingo &amp; belonging-statement cards, migration event cards + timeline, Arts Award Explore log pages.  Kit: load Cells HTML; playdough / junk (+ optional jelly &amp; sweets — CHECK ALLERGIES &amp; food hygiene) for build-a-cell; giant cell outline &amp; part cards; clay / print &amp; mixed media for Art stations; magnifying glasses.  Brief TA on Pupil A (soft start, take-up time, sharing opt-out).  Confirm any RSHE parental agreement on file if used.</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</si>
  <si>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</si>
  <si>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</si>
  <si>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</si>
  <si>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</si>
  <si>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</si>
  <si>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</si>
  <si>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</si>
  <si>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</si>
  <si>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</si>
  <si>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</si>
  <si>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</si>
  <si>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</si>
  <si>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</si>
  <si>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</si>
  <si>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</si>
  <si>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</si>
  <si>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</si>
  <si>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</si>
  <si>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</si>
  <si>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</si>
  <si>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</si>
  <si>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</si>
  <si>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</si>
  <si>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</si>
  <si>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</si>
  <si>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</si>
  <si>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</si>
  <si>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</si>
  <si>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</si>
  <si>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Students read/listened to a poem or spoken-word text and gave a personal response using one detail from the text.</t>
  </si>
  <si>
    <t xml:space="preserve">I can carry out my test and record the results in a table/spreadsheet.</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</si>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</sst>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7">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566159"/>
      <name val="Arial"/>
      <family val="0"/>
      <charset val="1"/>
    </font>
    <font>
      <b val="true"/>
      <sz val="9"/>
      <color rgb="FF566159"/>
      <name val="Arial"/>
      <family val="0"/>
      <charset val="1"/>
    </font>
    <font>
      <b val="true"/>
      <sz val="10"/>
      <color rgb="FF1B2420"/>
      <name val="Arial"/>
      <family val="0"/>
      <charset val="1"/>
    </font>
    <font>
      <b val="true"/>
      <sz val="10"/>
      <color rgb="FF2E7D4F"/>
      <name val="Arial"/>
      <family val="0"/>
      <charset val="1"/>
    </font>
    <font>
      <sz val="9"/>
      <color rgb="FF2E2A5D"/>
      <name val="Arial"/>
      <family val="0"/>
      <charset val="1"/>
    </font>
    <font>
      <b val="true"/>
      <sz val="9"/>
      <color rgb="FFFFFFFF"/>
      <name val="Arial"/>
      <family val="0"/>
      <charset val="1"/>
    </font>
    <font>
      <b val="true"/>
      <sz val="9"/>
      <color rgb="FF1B2420"/>
      <name val="Arial"/>
      <family val="0"/>
      <charset val="1"/>
    </font>
    <font>
      <sz val="9"/>
      <color rgb="FF000000"/>
      <name val="Arial"/>
      <family val="2"/>
      <charset val="1"/>
    </font>
    <font>
      <sz val="10"/>
      <color rgb="FF000000"/>
      <name val="Aptos"/>
      <family val="2"/>
      <charset val="1"/>
    </font>
    <font>
      <sz val="9"/>
      <color rgb="FF1B2420"/>
      <name val="Arial"/>
      <family val="0"/>
      <charset val="1"/>
    </font>
    <font>
      <sz val="9"/>
      <color theme="1"/>
      <name val="Arial"/>
      <family val="2"/>
      <charset val="1"/>
    </font>
    <font>
      <sz val="9"/>
      <color rgb="FF222222"/>
      <name val="Aptos"/>
      <family val="2"/>
      <charset val="1"/>
    </font>
    <font>
      <sz val="9"/>
      <color rgb="FF1B2420"/>
      <name val="Arial"/>
      <family val="2"/>
      <charset val="1"/>
    </font>
    <font>
      <i val="true"/>
      <sz val="8"/>
      <color rgb="FF566159"/>
      <name val="Arial"/>
      <family val="0"/>
      <charset val="1"/>
    </font>
    <font>
      <b val="true"/>
      <sz val="16"/>
      <color rgb="FFFFFFFF"/>
      <name val="Arial"/>
      <family val="0"/>
      <charset val="1"/>
    </font>
    <font>
      <sz val="9"/>
      <color theme="1"/>
      <name val="Arial"/>
      <family val="0"/>
      <charset val="1"/>
    </font>
    <font>
      <b val="true"/>
      <sz val="11"/>
      <color theme="1"/>
      <name val="Calibri"/>
      <family val="2"/>
      <charset val="1"/>
    </font>
    <font>
      <b val="true"/>
      <sz val="16"/>
      <color rgb="FFFFFFFF"/>
      <name val="Arial"/>
      <family val="2"/>
      <charset val="1"/>
    </font>
    <font>
      <sz val="10"/>
      <name val="Arial"/>
      <family val="2"/>
      <charset val="1"/>
    </font>
    <font>
      <sz val="9"/>
      <name val="Arial"/>
      <family val="2"/>
      <charset val="1"/>
    </font>
    <font>
      <b val="true"/>
      <sz val="10"/>
      <color rgb="FFFFFFFF"/>
      <name val="Arial"/>
      <family val="0"/>
      <charset val="1"/>
    </font>
    <font>
      <sz val="8"/>
      <color rgb="FF566159"/>
      <name val="Arial"/>
      <family val="0"/>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5">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2" fillId="5" borderId="4" xfId="0" applyFont="true" applyBorder="true" applyAlignment="true" applyProtection="false">
      <alignment horizontal="general" vertical="bottom" textRotation="0" wrapText="true" indent="0" shrinkToFit="false"/>
      <protection locked="true" hidden="false"/>
    </xf>
    <xf numFmtId="164" fontId="13" fillId="5" borderId="4" xfId="0" applyFont="true" applyBorder="true" applyAlignment="true" applyProtection="false">
      <alignment horizontal="general" vertical="bottom" textRotation="0" wrapText="true" indent="0" shrinkToFit="false"/>
      <protection locked="true" hidden="false"/>
    </xf>
    <xf numFmtId="164" fontId="14" fillId="5" borderId="3"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15" fillId="6" borderId="3" xfId="0" applyFont="true" applyBorder="true" applyAlignment="true" applyProtection="false">
      <alignment horizontal="left" vertical="center" textRotation="0" wrapText="true" indent="0" shrinkToFit="false"/>
      <protection locked="true" hidden="false"/>
    </xf>
    <xf numFmtId="164" fontId="16" fillId="5" borderId="4"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14" fillId="6" borderId="3" xfId="0" applyFont="true" applyBorder="true" applyAlignment="true" applyProtection="false">
      <alignment horizontal="general" vertical="top" textRotation="0" wrapText="true" indent="0" shrinkToFit="false"/>
      <protection locked="true" hidden="false"/>
    </xf>
    <xf numFmtId="164" fontId="17" fillId="6" borderId="3"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6" fontId="14" fillId="5" borderId="3" xfId="0" applyFont="true" applyBorder="tru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6" fontId="14" fillId="6" borderId="3" xfId="0" applyFont="true" applyBorder="true" applyAlignment="true" applyProtection="false">
      <alignment horizontal="left" vertical="center" textRotation="0" wrapText="true" indent="0" shrinkToFit="false"/>
      <protection locked="true" hidden="false"/>
    </xf>
    <xf numFmtId="164" fontId="21" fillId="6" borderId="3" xfId="0" applyFont="true" applyBorder="true" applyAlignment="true" applyProtection="false">
      <alignment horizontal="left"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6" fontId="0" fillId="6" borderId="3"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2" fillId="2"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5" fillId="7" borderId="0" xfId="0" applyFont="true" applyBorder="false" applyAlignment="true" applyProtection="false">
      <alignment horizontal="center" vertical="center" textRotation="0" wrapText="false" indent="0" shrinkToFit="false"/>
      <protection locked="true" hidden="false"/>
    </xf>
    <xf numFmtId="167" fontId="25" fillId="8" borderId="0" xfId="0" applyFont="true" applyBorder="false" applyAlignment="true" applyProtection="false">
      <alignment horizontal="center" vertical="center" textRotation="0" wrapText="false" indent="0" shrinkToFit="false"/>
      <protection locked="true" hidden="false"/>
    </xf>
    <xf numFmtId="167" fontId="25" fillId="9" borderId="0" xfId="0" applyFont="true" applyBorder="fals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1B2420"/>
      <rgbColor rgb="FF222222"/>
      <rgbColor rgb="FFC0392B"/>
      <rgbColor rgb="FF993366"/>
      <rgbColor rgb="FF333399"/>
      <rgbColor rgb="FF2E2A5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2" activePane="bottomLeft" state="frozen"/>
      <selection pane="topLeft" activeCell="A1" activeCellId="0" sqref="A1"/>
      <selection pane="bottomLeft" activeCell="J10" activeCellId="0" sqref="J10"/>
    </sheetView>
  </sheetViews>
  <sheetFormatPr defaultColWidth="8.57031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6</v>
      </c>
      <c r="F4" s="4" t="s">
        <v>4</v>
      </c>
      <c r="G4" s="5" t="n">
        <v>6</v>
      </c>
    </row>
    <row r="5" customFormat="false" ht="19.5" hidden="false" customHeight="true" outlineLevel="0" collapsed="false">
      <c r="A5" s="4" t="s">
        <v>5</v>
      </c>
      <c r="B5" s="5" t="s">
        <v>6</v>
      </c>
      <c r="F5" s="4" t="s">
        <v>7</v>
      </c>
      <c r="G5" s="5"/>
    </row>
    <row r="6" customFormat="false" ht="19.5" hidden="false" customHeight="true" outlineLevel="0" collapsed="false">
      <c r="A6" s="4" t="s">
        <v>8</v>
      </c>
      <c r="B6" s="6" t="str">
        <f aca="false">IF(B5="Autumn","Identity &amp; Belonging",IF(B5="Spring","Resilience &amp; Change",IF(B5="Summer","Our World, My Future","pick a term")))</f>
        <v>Identity &amp; Belonging</v>
      </c>
      <c r="C6" s="6"/>
      <c r="D6" s="6"/>
      <c r="F6" s="4" t="s">
        <v>9</v>
      </c>
      <c r="G6" s="5"/>
    </row>
    <row r="7" customFormat="false" ht="19.5" hidden="false" customHeight="true" outlineLevel="0" collapsed="false">
      <c r="A7" s="4" t="s">
        <v>10</v>
      </c>
      <c r="B7" s="7" t="n">
        <v>46300</v>
      </c>
      <c r="F7" s="4" t="s">
        <v>11</v>
      </c>
      <c r="G7" s="5"/>
    </row>
    <row r="8" customFormat="false" ht="45.75" hidden="false" customHeight="true" outlineLevel="0" collapsed="false">
      <c r="A8" s="8" t="s">
        <v>12</v>
      </c>
      <c r="B8" s="8"/>
      <c r="C8" s="8"/>
      <c r="D8" s="8"/>
      <c r="E8" s="8"/>
      <c r="F8" s="8"/>
      <c r="G8" s="8"/>
      <c r="H8" s="8"/>
      <c r="I8" s="8"/>
      <c r="J8" s="8"/>
    </row>
    <row r="9" customFormat="false" ht="30" hidden="false" customHeight="true" outlineLevel="0" collapsed="false">
      <c r="A9" s="9" t="s">
        <v>13</v>
      </c>
      <c r="B9" s="9" t="s">
        <v>14</v>
      </c>
      <c r="C9" s="9" t="s">
        <v>15</v>
      </c>
      <c r="D9" s="9" t="s">
        <v>16</v>
      </c>
      <c r="E9" s="9" t="s">
        <v>17</v>
      </c>
      <c r="F9" s="9" t="s">
        <v>18</v>
      </c>
      <c r="G9" s="9" t="s">
        <v>19</v>
      </c>
      <c r="H9" s="9" t="s">
        <v>20</v>
      </c>
      <c r="I9" s="9" t="s">
        <v>21</v>
      </c>
      <c r="J9" s="9" t="s">
        <v>22</v>
      </c>
    </row>
    <row r="10" customFormat="false" ht="330" hidden="false" customHeight="true" outlineLevel="0" collapsed="false">
      <c r="A10" s="10" t="s">
        <v>23</v>
      </c>
      <c r="B10" s="11" t="s">
        <v>24</v>
      </c>
      <c r="C10" s="11" t="s">
        <v>25</v>
      </c>
      <c r="D10" s="11" t="s">
        <v>26</v>
      </c>
      <c r="E10" s="11" t="s">
        <v>27</v>
      </c>
      <c r="F10" s="12" t="s">
        <v>28</v>
      </c>
      <c r="G10" s="13" t="s">
        <v>29</v>
      </c>
      <c r="H10" s="12" t="s">
        <v>30</v>
      </c>
      <c r="I10" s="12" t="s">
        <v>31</v>
      </c>
      <c r="J10" s="12" t="s">
        <v>32</v>
      </c>
    </row>
    <row r="11" customFormat="false" ht="330" hidden="false" customHeight="true" outlineLevel="0" collapsed="false">
      <c r="A11" s="14" t="s">
        <v>33</v>
      </c>
      <c r="B11" s="15" t="s">
        <v>34</v>
      </c>
      <c r="C11" s="16" t="s">
        <v>35</v>
      </c>
      <c r="D11" s="15" t="s">
        <v>36</v>
      </c>
      <c r="E11" s="15" t="s">
        <v>37</v>
      </c>
      <c r="F11" s="15" t="s">
        <v>38</v>
      </c>
      <c r="G11" s="15" t="s">
        <v>29</v>
      </c>
      <c r="H11" s="15" t="s">
        <v>39</v>
      </c>
      <c r="I11" s="15" t="s">
        <v>40</v>
      </c>
      <c r="J11" s="15" t="s">
        <v>41</v>
      </c>
    </row>
    <row r="12" customFormat="false" ht="360" hidden="false" customHeight="true" outlineLevel="0" collapsed="false">
      <c r="A12" s="10" t="s">
        <v>42</v>
      </c>
      <c r="B12" s="13" t="s">
        <v>43</v>
      </c>
      <c r="C12" s="17" t="s">
        <v>44</v>
      </c>
      <c r="D12" s="13" t="s">
        <v>45</v>
      </c>
      <c r="E12" s="13" t="s">
        <v>46</v>
      </c>
      <c r="F12" s="13" t="s">
        <v>47</v>
      </c>
      <c r="G12" s="13" t="s">
        <v>29</v>
      </c>
      <c r="H12" s="13" t="s">
        <v>48</v>
      </c>
      <c r="I12" s="13" t="s">
        <v>49</v>
      </c>
      <c r="J12" s="13" t="s">
        <v>50</v>
      </c>
    </row>
    <row r="13" customFormat="false" ht="330" hidden="false" customHeight="true" outlineLevel="0" collapsed="false">
      <c r="A13" s="14" t="s">
        <v>51</v>
      </c>
      <c r="B13" s="15" t="s">
        <v>52</v>
      </c>
      <c r="C13" s="15" t="s">
        <v>53</v>
      </c>
      <c r="D13" s="15" t="s">
        <v>54</v>
      </c>
      <c r="E13" s="15" t="s">
        <v>55</v>
      </c>
      <c r="F13" s="15" t="s">
        <v>56</v>
      </c>
      <c r="G13" s="15" t="s">
        <v>29</v>
      </c>
      <c r="H13" s="15" t="s">
        <v>57</v>
      </c>
      <c r="I13" s="15" t="s">
        <v>58</v>
      </c>
      <c r="J13" s="15" t="s">
        <v>59</v>
      </c>
    </row>
    <row r="14" customFormat="false" ht="330" hidden="false" customHeight="true" outlineLevel="0" collapsed="false">
      <c r="A14" s="10" t="s">
        <v>60</v>
      </c>
      <c r="B14" s="13" t="s">
        <v>61</v>
      </c>
      <c r="C14" s="17" t="s">
        <v>62</v>
      </c>
      <c r="D14" s="13" t="s">
        <v>63</v>
      </c>
      <c r="E14" s="13" t="s">
        <v>64</v>
      </c>
      <c r="F14" s="13" t="s">
        <v>65</v>
      </c>
      <c r="G14" s="13" t="s">
        <v>29</v>
      </c>
      <c r="H14" s="13" t="s">
        <v>66</v>
      </c>
      <c r="I14" s="13" t="s">
        <v>67</v>
      </c>
      <c r="J14" s="13" t="s">
        <v>68</v>
      </c>
    </row>
    <row r="15" customFormat="false" ht="360" hidden="false" customHeight="true" outlineLevel="0" collapsed="false">
      <c r="A15" s="14" t="s">
        <v>69</v>
      </c>
      <c r="B15" s="13" t="s">
        <v>70</v>
      </c>
      <c r="C15" s="17" t="s">
        <v>71</v>
      </c>
      <c r="D15" s="13" t="s">
        <v>72</v>
      </c>
      <c r="E15" s="13" t="s">
        <v>73</v>
      </c>
      <c r="F15" s="13" t="s">
        <v>74</v>
      </c>
      <c r="G15" s="13" t="s">
        <v>29</v>
      </c>
      <c r="H15" s="13" t="s">
        <v>75</v>
      </c>
      <c r="I15" s="13" t="s">
        <v>76</v>
      </c>
      <c r="J15" s="13" t="s">
        <v>77</v>
      </c>
    </row>
    <row r="16" customFormat="false" ht="330" hidden="false" customHeight="true" outlineLevel="0" collapsed="false">
      <c r="A16" s="10" t="s">
        <v>78</v>
      </c>
      <c r="B16" s="13" t="s">
        <v>79</v>
      </c>
      <c r="C16" s="17" t="s">
        <v>80</v>
      </c>
      <c r="D16" s="13" t="s">
        <v>81</v>
      </c>
      <c r="E16" s="13" t="s">
        <v>82</v>
      </c>
      <c r="F16" s="13" t="s">
        <v>83</v>
      </c>
      <c r="G16" s="13" t="s">
        <v>29</v>
      </c>
      <c r="H16" s="13" t="s">
        <v>84</v>
      </c>
      <c r="I16" s="13" t="s">
        <v>85</v>
      </c>
      <c r="J16" s="13" t="s">
        <v>86</v>
      </c>
    </row>
    <row r="17" customFormat="false" ht="45.75" hidden="false" customHeight="true" outlineLevel="0" collapsed="false">
      <c r="A17" s="14" t="s">
        <v>87</v>
      </c>
      <c r="B17" s="15"/>
      <c r="C17" s="15"/>
      <c r="D17" s="15"/>
      <c r="E17" s="15"/>
      <c r="F17" s="15"/>
      <c r="G17" s="15"/>
      <c r="H17" s="15"/>
      <c r="I17" s="15"/>
      <c r="J17" s="15"/>
    </row>
    <row r="18" customFormat="false" ht="45.75" hidden="false" customHeight="true" outlineLevel="0" collapsed="false">
      <c r="A18" s="10" t="s">
        <v>88</v>
      </c>
      <c r="B18" s="13"/>
      <c r="C18" s="13"/>
      <c r="D18" s="13"/>
      <c r="E18" s="13"/>
      <c r="F18" s="13"/>
      <c r="G18" s="13"/>
      <c r="H18" s="13"/>
      <c r="I18" s="13"/>
      <c r="J18" s="13"/>
    </row>
    <row r="20" customFormat="false" ht="18" hidden="false" customHeight="true" outlineLevel="0" collapsed="false">
      <c r="A20" s="18" t="s">
        <v>89</v>
      </c>
      <c r="B20" s="18"/>
      <c r="C20" s="18"/>
      <c r="D20" s="18"/>
      <c r="E20" s="18"/>
      <c r="F20" s="18"/>
      <c r="G20" s="18"/>
      <c r="H20" s="18"/>
      <c r="I20" s="18"/>
      <c r="J20" s="18"/>
    </row>
    <row r="21" customFormat="false" ht="117.75" hidden="false" customHeight="true" outlineLevel="0" collapsed="false">
      <c r="A21" s="19" t="s">
        <v>90</v>
      </c>
      <c r="B21" s="19"/>
      <c r="C21" s="19"/>
      <c r="D21" s="19"/>
      <c r="E21" s="19"/>
      <c r="F21" s="19"/>
      <c r="G21" s="19"/>
      <c r="H21" s="19"/>
      <c r="I21" s="19"/>
      <c r="J21" s="19"/>
    </row>
    <row r="22" customFormat="false" ht="18" hidden="false" customHeight="true" outlineLevel="0" collapsed="false">
      <c r="A22" s="18" t="s">
        <v>91</v>
      </c>
      <c r="B22" s="18"/>
      <c r="C22" s="18"/>
      <c r="D22" s="18"/>
      <c r="E22" s="18"/>
      <c r="F22" s="18"/>
      <c r="G22" s="18"/>
      <c r="H22" s="18"/>
      <c r="I22" s="18"/>
      <c r="J22" s="18"/>
    </row>
    <row r="23" customFormat="false" ht="141.75" hidden="false" customHeight="true" outlineLevel="0" collapsed="false">
      <c r="A23" s="20" t="s">
        <v>92</v>
      </c>
      <c r="B23" s="20"/>
      <c r="C23" s="20"/>
      <c r="D23" s="20"/>
      <c r="E23" s="20"/>
      <c r="F23" s="20"/>
      <c r="G23" s="20"/>
      <c r="H23" s="20"/>
      <c r="I23" s="20"/>
      <c r="J23" s="20"/>
    </row>
    <row r="24" customFormat="false" ht="14.25" hidden="false" customHeight="true" outlineLevel="0" collapsed="false">
      <c r="A24" s="21" t="s">
        <v>93</v>
      </c>
      <c r="B24" s="21"/>
      <c r="C24" s="21"/>
      <c r="D24" s="21"/>
      <c r="E24" s="21"/>
      <c r="F24" s="21"/>
      <c r="G24" s="21"/>
      <c r="H24" s="21"/>
      <c r="I24" s="21"/>
      <c r="J24" s="21"/>
    </row>
  </sheetData>
  <mergeCells count="9">
    <mergeCell ref="A1:J1"/>
    <mergeCell ref="A2:J2"/>
    <mergeCell ref="B6:D6"/>
    <mergeCell ref="A8:J8"/>
    <mergeCell ref="A20:J20"/>
    <mergeCell ref="A21:J21"/>
    <mergeCell ref="A22:J22"/>
    <mergeCell ref="A23:J23"/>
    <mergeCell ref="A24:J24"/>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8"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8"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7031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22" t="s">
        <v>94</v>
      </c>
      <c r="B1" s="22"/>
      <c r="C1" s="22"/>
      <c r="D1" s="22"/>
      <c r="E1" s="22"/>
      <c r="F1" s="22"/>
      <c r="G1" s="22"/>
      <c r="H1" s="22"/>
      <c r="I1" s="22"/>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95</v>
      </c>
      <c r="B4" s="9" t="s">
        <v>2</v>
      </c>
      <c r="C4" s="9" t="s">
        <v>96</v>
      </c>
      <c r="D4" s="9" t="s">
        <v>97</v>
      </c>
      <c r="E4" s="9" t="s">
        <v>98</v>
      </c>
      <c r="F4" s="9" t="s">
        <v>99</v>
      </c>
      <c r="G4" s="9" t="s">
        <v>100</v>
      </c>
      <c r="H4" s="9" t="s">
        <v>101</v>
      </c>
      <c r="I4" s="9" t="s">
        <v>102</v>
      </c>
    </row>
    <row r="5" customFormat="false" ht="42" hidden="false" customHeight="true" outlineLevel="0" collapsed="false">
      <c r="A5" s="10" t="s">
        <v>103</v>
      </c>
      <c r="B5" s="13" t="s">
        <v>3</v>
      </c>
      <c r="C5" s="13" t="s">
        <v>104</v>
      </c>
      <c r="D5" s="23"/>
      <c r="E5" s="13"/>
      <c r="F5" s="24"/>
      <c r="G5" s="15"/>
      <c r="H5" s="13"/>
      <c r="I5" s="13"/>
    </row>
    <row r="6" customFormat="false" ht="42" hidden="false" customHeight="true" outlineLevel="0" collapsed="false">
      <c r="A6" s="14" t="s">
        <v>105</v>
      </c>
      <c r="B6" s="13" t="s">
        <v>3</v>
      </c>
      <c r="C6" s="15" t="s">
        <v>104</v>
      </c>
      <c r="D6" s="25"/>
      <c r="E6" s="15"/>
      <c r="F6" s="15"/>
      <c r="G6" s="15"/>
      <c r="H6" s="15"/>
      <c r="I6" s="15"/>
    </row>
    <row r="7" customFormat="false" ht="42" hidden="false" customHeight="true" outlineLevel="0" collapsed="false">
      <c r="A7" s="26" t="s">
        <v>106</v>
      </c>
      <c r="B7" s="27" t="s">
        <v>3</v>
      </c>
      <c r="C7" s="27" t="s">
        <v>104</v>
      </c>
      <c r="D7" s="28"/>
      <c r="E7" s="27"/>
      <c r="F7" s="27"/>
      <c r="G7" s="15"/>
      <c r="H7" s="27"/>
      <c r="I7" s="29"/>
    </row>
    <row r="8" customFormat="false" ht="30" hidden="false" customHeight="true" outlineLevel="0" collapsed="false">
      <c r="A8" s="27"/>
      <c r="B8" s="30"/>
      <c r="C8" s="27"/>
      <c r="D8" s="27"/>
      <c r="E8" s="27"/>
      <c r="F8" s="27"/>
      <c r="G8" s="27"/>
      <c r="H8" s="27"/>
      <c r="I8" s="27"/>
    </row>
    <row r="9" customFormat="false" ht="30" hidden="false" customHeight="true" outlineLevel="0" collapsed="false">
      <c r="A9" s="31"/>
      <c r="B9" s="31"/>
      <c r="C9" s="31"/>
      <c r="D9" s="31"/>
      <c r="E9" s="31"/>
      <c r="F9" s="31"/>
      <c r="G9" s="31"/>
      <c r="H9" s="31"/>
      <c r="I9" s="31"/>
    </row>
    <row r="10" customFormat="false" ht="30" hidden="false" customHeight="true" outlineLevel="0" collapsed="false">
      <c r="A10" s="27"/>
      <c r="B10" s="30"/>
      <c r="C10" s="27"/>
      <c r="D10" s="27"/>
      <c r="E10" s="27"/>
      <c r="F10" s="27"/>
      <c r="G10" s="27"/>
      <c r="H10" s="27"/>
      <c r="I10" s="27"/>
    </row>
    <row r="11" customFormat="false" ht="30" hidden="false" customHeight="true" outlineLevel="0" collapsed="false">
      <c r="A11" s="31"/>
      <c r="B11" s="31"/>
      <c r="C11" s="31"/>
      <c r="D11" s="31"/>
      <c r="E11" s="31"/>
      <c r="F11" s="31"/>
      <c r="G11" s="31"/>
      <c r="H11" s="31"/>
      <c r="I11" s="31"/>
    </row>
    <row r="12" customFormat="false" ht="30" hidden="false" customHeight="true" outlineLevel="0" collapsed="false">
      <c r="A12" s="27"/>
      <c r="B12" s="30"/>
      <c r="C12" s="27"/>
      <c r="D12" s="27"/>
      <c r="E12" s="27"/>
      <c r="F12" s="27"/>
      <c r="G12" s="27"/>
      <c r="H12" s="27"/>
      <c r="I12" s="27"/>
    </row>
    <row r="13" customFormat="false" ht="30" hidden="false" customHeight="true" outlineLevel="0" collapsed="false">
      <c r="A13" s="31"/>
      <c r="B13" s="31"/>
      <c r="C13" s="31"/>
      <c r="D13" s="31"/>
      <c r="E13" s="31"/>
      <c r="F13" s="31"/>
      <c r="G13" s="31"/>
      <c r="H13" s="31"/>
      <c r="I13" s="31"/>
    </row>
    <row r="14" customFormat="false" ht="30" hidden="false" customHeight="true" outlineLevel="0" collapsed="false">
      <c r="A14" s="27"/>
      <c r="B14" s="30"/>
      <c r="C14" s="27"/>
      <c r="D14" s="27"/>
      <c r="E14" s="27"/>
      <c r="F14" s="27"/>
      <c r="G14" s="27"/>
      <c r="H14" s="27"/>
      <c r="I14" s="27"/>
    </row>
    <row r="15" customFormat="false" ht="30" hidden="false" customHeight="true" outlineLevel="0" collapsed="false">
      <c r="A15" s="31"/>
      <c r="B15" s="31"/>
      <c r="C15" s="31"/>
      <c r="D15" s="31"/>
      <c r="E15" s="31"/>
      <c r="F15" s="31"/>
      <c r="G15" s="31"/>
      <c r="H15" s="31"/>
      <c r="I15" s="31"/>
    </row>
    <row r="16" customFormat="false" ht="30" hidden="false" customHeight="true" outlineLevel="0" collapsed="false">
      <c r="A16" s="27"/>
      <c r="B16" s="30"/>
      <c r="C16" s="27"/>
      <c r="D16" s="27"/>
      <c r="E16" s="27"/>
      <c r="F16" s="27"/>
      <c r="G16" s="27"/>
      <c r="H16" s="27"/>
      <c r="I16" s="27"/>
    </row>
    <row r="17" customFormat="false" ht="30" hidden="false" customHeight="true" outlineLevel="0" collapsed="false">
      <c r="A17" s="31"/>
      <c r="B17" s="31"/>
      <c r="C17" s="31"/>
      <c r="D17" s="31"/>
      <c r="E17" s="31"/>
      <c r="F17" s="31"/>
      <c r="G17" s="31"/>
      <c r="H17" s="31"/>
      <c r="I17" s="31"/>
    </row>
    <row r="18" customFormat="false" ht="30" hidden="false" customHeight="true" outlineLevel="0" collapsed="false">
      <c r="A18" s="27"/>
      <c r="B18" s="30"/>
      <c r="C18" s="27"/>
      <c r="D18" s="27"/>
      <c r="E18" s="27"/>
      <c r="F18" s="27"/>
      <c r="G18" s="27"/>
      <c r="H18" s="27"/>
      <c r="I18" s="27"/>
    </row>
    <row r="19" customFormat="false" ht="30" hidden="false" customHeight="true" outlineLevel="0" collapsed="false">
      <c r="A19" s="31"/>
      <c r="B19" s="31"/>
      <c r="C19" s="31"/>
      <c r="D19" s="31"/>
      <c r="E19" s="31"/>
      <c r="F19" s="31"/>
      <c r="G19" s="31"/>
      <c r="H19" s="31"/>
      <c r="I19" s="31"/>
    </row>
  </sheetData>
  <mergeCells count="2">
    <mergeCell ref="A1:I1"/>
    <mergeCell ref="A2:I2"/>
  </mergeCells>
  <conditionalFormatting sqref="B5:B7">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conditionalFormatting sqref="B8:B19">
    <cfRule type="cellIs" priority="5" operator="equal" aboveAverage="0" equalAverage="0" bottom="0" percent="0" rank="0" text="" dxfId="0">
      <formula>"BUILD"</formula>
    </cfRule>
    <cfRule type="cellIs" priority="6" operator="equal" aboveAverage="0" equalAverage="0" bottom="0" percent="0" rank="0" text="" dxfId="1">
      <formula>"GROW"</formula>
    </cfRule>
    <cfRule type="cellIs" priority="7"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7" activeCellId="0" sqref="A7"/>
    </sheetView>
  </sheetViews>
  <sheetFormatPr defaultColWidth="8.57031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32" t="s">
        <v>107</v>
      </c>
      <c r="B1" s="32"/>
      <c r="C1" s="32"/>
      <c r="D1" s="32"/>
      <c r="E1" s="32"/>
      <c r="F1" s="32"/>
      <c r="G1" s="32"/>
      <c r="H1" s="32"/>
      <c r="I1" s="32"/>
    </row>
    <row r="2" customFormat="false" ht="14.25" hidden="false" customHeight="true" outlineLevel="0" collapsed="false">
      <c r="A2" s="33" t="s">
        <v>108</v>
      </c>
      <c r="B2" s="33"/>
      <c r="C2" s="33"/>
      <c r="D2" s="33"/>
      <c r="E2" s="33"/>
      <c r="F2" s="33"/>
      <c r="G2" s="33"/>
      <c r="H2" s="33"/>
      <c r="I2" s="33"/>
    </row>
    <row r="3" customFormat="false" ht="18" hidden="false" customHeight="true" outlineLevel="0" collapsed="false">
      <c r="A3" s="34" t="s">
        <v>109</v>
      </c>
      <c r="B3" s="35" t="s">
        <v>110</v>
      </c>
      <c r="C3" s="35"/>
      <c r="D3" s="36" t="s">
        <v>111</v>
      </c>
      <c r="E3" s="35" t="s">
        <v>112</v>
      </c>
      <c r="F3" s="35"/>
      <c r="G3" s="37" t="s">
        <v>113</v>
      </c>
      <c r="H3" s="35" t="s">
        <v>114</v>
      </c>
      <c r="I3" s="35"/>
    </row>
    <row r="5" customFormat="false" ht="27.75" hidden="false" customHeight="true" outlineLevel="0" collapsed="false">
      <c r="A5" s="9" t="s">
        <v>115</v>
      </c>
      <c r="B5" s="9" t="s">
        <v>2</v>
      </c>
      <c r="C5" s="9" t="s">
        <v>13</v>
      </c>
      <c r="D5" s="9" t="s">
        <v>116</v>
      </c>
      <c r="E5" s="9" t="s">
        <v>117</v>
      </c>
      <c r="F5" s="9" t="s">
        <v>118</v>
      </c>
      <c r="G5" s="9" t="s">
        <v>119</v>
      </c>
      <c r="H5" s="9" t="s">
        <v>120</v>
      </c>
      <c r="I5" s="9" t="s">
        <v>121</v>
      </c>
    </row>
    <row r="6" customFormat="false" ht="30" hidden="false" customHeight="true" outlineLevel="0" collapsed="false">
      <c r="A6" s="38" t="n">
        <v>46301</v>
      </c>
      <c r="B6" s="13" t="s">
        <v>3</v>
      </c>
      <c r="C6" s="27" t="s">
        <v>23</v>
      </c>
      <c r="D6" s="11" t="s">
        <v>122</v>
      </c>
      <c r="E6" s="27"/>
      <c r="F6" s="30"/>
      <c r="G6" s="27"/>
      <c r="H6" s="30"/>
      <c r="I6" s="27"/>
    </row>
    <row r="7" customFormat="false" ht="30" hidden="false" customHeight="true" outlineLevel="0" collapsed="false">
      <c r="A7" s="38" t="n">
        <v>46300</v>
      </c>
      <c r="B7" s="13" t="s">
        <v>3</v>
      </c>
      <c r="C7" s="27" t="s">
        <v>33</v>
      </c>
      <c r="D7" s="16" t="s">
        <v>35</v>
      </c>
      <c r="E7" s="27"/>
      <c r="F7" s="30"/>
      <c r="G7" s="27"/>
      <c r="H7" s="30"/>
      <c r="I7" s="27"/>
    </row>
    <row r="8" customFormat="false" ht="30" hidden="false" customHeight="true" outlineLevel="0" collapsed="false">
      <c r="A8" s="38" t="n">
        <v>46300</v>
      </c>
      <c r="B8" s="13" t="s">
        <v>3</v>
      </c>
      <c r="C8" s="13" t="s">
        <v>42</v>
      </c>
      <c r="D8" s="13" t="s">
        <v>123</v>
      </c>
      <c r="E8" s="13"/>
      <c r="F8" s="13"/>
      <c r="G8" s="13"/>
      <c r="H8" s="13"/>
      <c r="I8" s="13"/>
    </row>
    <row r="9" customFormat="false" ht="30" hidden="false" customHeight="true" outlineLevel="0" collapsed="false">
      <c r="A9" s="38" t="n">
        <v>46300</v>
      </c>
      <c r="B9" s="13" t="s">
        <v>3</v>
      </c>
      <c r="C9" s="13" t="s">
        <v>51</v>
      </c>
      <c r="D9" s="13" t="s">
        <v>53</v>
      </c>
      <c r="E9" s="13"/>
      <c r="F9" s="13"/>
      <c r="G9" s="13"/>
      <c r="H9" s="13"/>
      <c r="I9" s="13"/>
    </row>
    <row r="10" customFormat="false" ht="30" hidden="false" customHeight="true" outlineLevel="0" collapsed="false">
      <c r="A10" s="38" t="n">
        <v>46300</v>
      </c>
      <c r="B10" s="13" t="s">
        <v>3</v>
      </c>
      <c r="C10" s="13" t="s">
        <v>69</v>
      </c>
      <c r="D10" s="13" t="s">
        <v>71</v>
      </c>
      <c r="E10" s="13"/>
      <c r="F10" s="13"/>
      <c r="G10" s="13"/>
      <c r="H10" s="13"/>
      <c r="I10" s="13"/>
    </row>
    <row r="11" customFormat="false" ht="30" hidden="false" customHeight="true" outlineLevel="0" collapsed="false">
      <c r="A11" s="38" t="n">
        <v>46300</v>
      </c>
      <c r="B11" s="13" t="s">
        <v>3</v>
      </c>
      <c r="C11" s="13" t="s">
        <v>78</v>
      </c>
      <c r="D11" s="13" t="s">
        <v>80</v>
      </c>
      <c r="E11" s="13"/>
      <c r="F11" s="13"/>
      <c r="G11" s="13"/>
      <c r="H11" s="13"/>
      <c r="I11" s="13"/>
    </row>
    <row r="12" customFormat="false" ht="30" hidden="false" customHeight="true" outlineLevel="0" collapsed="false">
      <c r="A12" s="38" t="n">
        <v>46300</v>
      </c>
      <c r="B12" s="13" t="s">
        <v>3</v>
      </c>
      <c r="C12" s="39" t="s">
        <v>60</v>
      </c>
      <c r="D12" s="17" t="s">
        <v>62</v>
      </c>
      <c r="E12" s="31"/>
      <c r="F12" s="31"/>
      <c r="G12" s="31"/>
      <c r="H12" s="31"/>
      <c r="I12" s="31"/>
    </row>
    <row r="13" customFormat="false" ht="30" hidden="false" customHeight="true" outlineLevel="0" collapsed="false">
      <c r="A13" s="31"/>
      <c r="B13" s="31"/>
      <c r="C13" s="39"/>
      <c r="D13" s="31"/>
      <c r="E13" s="31"/>
      <c r="F13" s="31"/>
      <c r="G13" s="31"/>
      <c r="H13" s="31"/>
      <c r="I13" s="31"/>
    </row>
    <row r="14" customFormat="false" ht="30" hidden="false" customHeight="true" outlineLevel="0" collapsed="false">
      <c r="A14" s="27"/>
      <c r="B14" s="30"/>
      <c r="C14" s="27"/>
      <c r="D14" s="27"/>
      <c r="E14" s="27"/>
      <c r="F14" s="30"/>
      <c r="G14" s="27"/>
      <c r="H14" s="30"/>
      <c r="I14" s="27"/>
    </row>
    <row r="15" customFormat="false" ht="25.5" hidden="false" customHeight="true" outlineLevel="0" collapsed="false">
      <c r="A15" s="31"/>
      <c r="B15" s="31"/>
      <c r="C15" s="39"/>
      <c r="D15" s="31"/>
      <c r="E15" s="31"/>
      <c r="F15" s="31"/>
      <c r="G15" s="31"/>
      <c r="H15" s="31"/>
      <c r="I15" s="31"/>
    </row>
    <row r="16" customFormat="false" ht="25.5" hidden="false" customHeight="true" outlineLevel="0" collapsed="false">
      <c r="A16" s="27"/>
      <c r="B16" s="30"/>
      <c r="C16" s="27"/>
      <c r="D16" s="27"/>
      <c r="E16" s="27"/>
      <c r="F16" s="30"/>
      <c r="G16" s="27"/>
      <c r="H16" s="30"/>
      <c r="I16" s="27"/>
    </row>
    <row r="17" customFormat="false" ht="25.5" hidden="false" customHeight="true" outlineLevel="0" collapsed="false">
      <c r="A17" s="31"/>
      <c r="B17" s="31"/>
      <c r="C17" s="39"/>
      <c r="D17" s="31"/>
      <c r="E17" s="31"/>
      <c r="F17" s="31"/>
      <c r="G17" s="31"/>
      <c r="H17" s="31"/>
      <c r="I17" s="31"/>
    </row>
    <row r="18" customFormat="false" ht="25.5" hidden="false" customHeight="true" outlineLevel="0" collapsed="false">
      <c r="A18" s="27"/>
      <c r="B18" s="30"/>
      <c r="C18" s="27"/>
      <c r="D18" s="27"/>
      <c r="E18" s="27"/>
      <c r="F18" s="30"/>
      <c r="G18" s="27"/>
      <c r="H18" s="30"/>
      <c r="I18" s="27"/>
    </row>
    <row r="19" customFormat="false" ht="25.5" hidden="false" customHeight="true" outlineLevel="0" collapsed="false">
      <c r="A19" s="31"/>
      <c r="B19" s="31"/>
      <c r="C19" s="39"/>
      <c r="D19" s="31"/>
      <c r="E19" s="31"/>
      <c r="F19" s="31"/>
      <c r="G19" s="31"/>
      <c r="H19" s="31"/>
      <c r="I19" s="31"/>
    </row>
    <row r="20" customFormat="false" ht="25.5" hidden="false" customHeight="true" outlineLevel="0" collapsed="false">
      <c r="A20" s="27"/>
      <c r="B20" s="30"/>
      <c r="C20" s="27"/>
      <c r="D20" s="27"/>
      <c r="E20" s="27"/>
      <c r="F20" s="30"/>
      <c r="G20" s="27"/>
      <c r="H20" s="30"/>
      <c r="I20" s="27"/>
    </row>
    <row r="21" customFormat="false" ht="25.5" hidden="false" customHeight="true" outlineLevel="0" collapsed="false">
      <c r="A21" s="31"/>
      <c r="B21" s="31"/>
      <c r="C21" s="39"/>
      <c r="D21" s="31"/>
      <c r="E21" s="31"/>
      <c r="F21" s="31"/>
      <c r="G21" s="31"/>
      <c r="H21" s="31"/>
      <c r="I21" s="31"/>
    </row>
    <row r="22" customFormat="false" ht="25.5" hidden="false" customHeight="true" outlineLevel="0" collapsed="false"/>
    <row r="23" customFormat="false" ht="25.5" hidden="false" customHeight="true" outlineLevel="0" collapsed="false">
      <c r="C23" s="40" t="s">
        <v>124</v>
      </c>
      <c r="D23" s="41" t="n">
        <f aca="false">COUNTIF($F$8:$F$18,"Green")</f>
        <v>0</v>
      </c>
      <c r="E23" s="42" t="n">
        <f aca="false">COUNTIF($F$8:$F$18,"Amber")</f>
        <v>0</v>
      </c>
      <c r="F23" s="43" t="n">
        <f aca="false">COUNTIF($F$8:$F$18,"Red")</f>
        <v>0</v>
      </c>
    </row>
    <row r="24" customFormat="false" ht="25.5" hidden="false" customHeight="true" outlineLevel="0" collapsed="false">
      <c r="D24" s="44" t="s">
        <v>125</v>
      </c>
      <c r="E24" s="44" t="s">
        <v>126</v>
      </c>
      <c r="F24" s="44" t="s">
        <v>127</v>
      </c>
    </row>
    <row r="25" customFormat="false" ht="25.5" hidden="false" customHeight="true" outlineLevel="0" collapsed="false"/>
    <row r="26" customFormat="false" ht="25.5" hidden="false" customHeight="true" outlineLevel="0" collapsed="false"/>
    <row r="27" customFormat="false" ht="15" hidden="false" customHeight="true" outlineLevel="0" collapsed="false"/>
    <row r="28" customFormat="false" ht="15" hidden="false" customHeight="true" outlineLevel="0" collapsed="false"/>
  </sheetData>
  <mergeCells count="5">
    <mergeCell ref="A1:I1"/>
    <mergeCell ref="A2:I2"/>
    <mergeCell ref="B3:C3"/>
    <mergeCell ref="E3:F3"/>
    <mergeCell ref="H3:I3"/>
  </mergeCells>
  <conditionalFormatting sqref="F6:F26">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6" type="list">
      <formula1>"BUILD,GROW,LAUNCH"</formula1>
      <formula2>0</formula2>
    </dataValidation>
    <dataValidation allowBlank="true" error="Pick a value from the list." errorStyle="stop" errorTitle="Choose from the list" operator="between" showDropDown="false" showErrorMessage="false" showInputMessage="false" sqref="C6:C26"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6:F26" type="list">
      <formula1>"Green,Amber,Red"</formula1>
      <formula2>0</formula2>
    </dataValidation>
    <dataValidation allowBlank="true" error="Pick a value from the list." errorStyle="stop" errorTitle="Choose from the list" operator="between" showDropDown="false" showErrorMessage="false" showInputMessage="false" sqref="H6:H26"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Graham Lancaster</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