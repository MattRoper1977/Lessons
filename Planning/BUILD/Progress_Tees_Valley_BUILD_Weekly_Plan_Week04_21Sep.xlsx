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Weekly Plan" sheetId="1" state="visible" r:id="rId1"/>
    <sheet name="Students" sheetId="2" state="visible" r:id="rId2"/>
    <sheet name="Outcomes RA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566159"/>
      <sz val="10"/>
    </font>
    <font>
      <name val="Arial"/>
      <charset val="1"/>
      <family val="0"/>
      <b val="1"/>
      <color rgb="FF566159"/>
      <sz val="9"/>
    </font>
    <font>
      <name val="Arial"/>
      <charset val="1"/>
      <family val="0"/>
      <b val="1"/>
      <color rgb="FF1B2420"/>
      <sz val="10"/>
    </font>
    <font>
      <name val="Arial"/>
      <charset val="1"/>
      <family val="0"/>
      <b val="1"/>
      <color rgb="FF2E7D4F"/>
      <sz val="10"/>
    </font>
    <font>
      <name val="Arial"/>
      <charset val="1"/>
      <family val="0"/>
      <color rgb="FF2E2A5D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B2420"/>
      <sz val="9"/>
    </font>
    <font>
      <name val="Arial"/>
      <charset val="1"/>
      <family val="2"/>
      <color rgb="FF000000"/>
      <sz val="9"/>
    </font>
    <font>
      <name val="Arial"/>
      <charset val="1"/>
      <family val="0"/>
      <color rgb="FF1B2420"/>
      <sz val="9"/>
    </font>
    <font>
      <name val="Arial"/>
      <charset val="1"/>
      <family val="2"/>
      <color rgb="FF1B2420"/>
      <sz val="9"/>
    </font>
    <font>
      <name val="Aptos"/>
      <charset val="1"/>
      <family val="2"/>
      <color rgb="FF222222"/>
      <sz val="9"/>
    </font>
    <font>
      <name val="Arial"/>
      <charset val="1"/>
      <family val="0"/>
      <i val="1"/>
      <color rgb="FF566159"/>
      <sz val="8"/>
    </font>
    <font>
      <name val="Arial"/>
      <charset val="1"/>
      <family val="0"/>
      <b val="1"/>
      <color rgb="FFFFFFFF"/>
      <sz val="16"/>
    </font>
    <font>
      <name val="Arial"/>
      <charset val="1"/>
      <family val="2"/>
      <b val="1"/>
      <color rgb="FFFFFFFF"/>
      <sz val="16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566159"/>
      <sz val="8"/>
    </font>
  </fonts>
  <fills count="10">
    <fill>
      <patternFill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C3CDC1"/>
      </bottom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3CDC1"/>
      </top>
      <bottom/>
      <diagonal/>
    </border>
    <border>
      <left/>
      <right style="thin">
        <color rgb="FFC3CDC1"/>
      </right>
      <top style="thin">
        <color rgb="FFC3CDC1"/>
      </top>
      <bottom/>
      <diagonal/>
    </border>
    <border>
      <left/>
      <right/>
      <top style="thin">
        <color rgb="FFC3CDC1"/>
      </top>
      <bottom style="thin">
        <color rgb="FFC3CDC1"/>
      </bottom>
      <diagonal/>
    </border>
    <border>
      <left/>
      <right style="thin">
        <color rgb="FFC3CDC1"/>
      </right>
      <top style="thin">
        <color rgb="FFC3CDC1"/>
      </top>
      <bottom style="thin">
        <color rgb="FFC3CDC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1" pivotButton="0" quotePrefix="0" xfId="0"/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0" fillId="0" borderId="11" pivotButton="0" quotePrefix="0" xfId="0"/>
    <xf numFmtId="0" fontId="0" fillId="0" borderId="12" pivotButton="0" quotePrefix="0" xfId="0"/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J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C11" activeCellId="0" sqref="C11"/>
    </sheetView>
  </sheetViews>
  <sheetFormatPr baseColWidth="8" defaultColWidth="8.5625" defaultRowHeight="14.25" zeroHeight="0" outlineLevelRow="0"/>
  <cols>
    <col width="18" customWidth="1" style="41" min="1" max="1"/>
    <col width="20" customWidth="1" style="41" min="2" max="2"/>
    <col width="26" customWidth="1" style="41" min="3" max="4"/>
    <col width="16" customWidth="1" style="41" min="5" max="5"/>
    <col width="20" customWidth="1" style="41" min="6" max="6"/>
    <col width="10" customWidth="1" style="41" min="7" max="7"/>
    <col width="26" customWidth="1" style="41" min="8" max="8"/>
    <col width="22" customWidth="1" style="41" min="9" max="10"/>
  </cols>
  <sheetData>
    <row r="1" ht="30" customHeight="1" s="42">
      <c r="A1" s="43" t="inlineStr">
        <is>
          <t>Weekly Planner - To be submitted to Head of School prior to the start of each Half-Term</t>
        </is>
      </c>
    </row>
    <row r="2" ht="14.25" customHeight="1" s="42">
      <c r="A2" s="44" t="inlineStr">
        <is>
          <t>Progress Schools  ·  linked to the 2026/27 Schemes of Work</t>
        </is>
      </c>
    </row>
    <row r="3"/>
    <row r="4" ht="19.5" customHeight="1" s="42">
      <c r="A4" s="45" t="inlineStr">
        <is>
          <t>Pathway</t>
        </is>
      </c>
      <c r="B4" s="46" t="inlineStr">
        <is>
          <t>BUILD</t>
        </is>
      </c>
      <c r="D4" s="41" t="n">
        <v>4</v>
      </c>
      <c r="F4" s="45" t="inlineStr">
        <is>
          <t>Week no.</t>
        </is>
      </c>
      <c r="G4" s="46" t="n">
        <v>4</v>
      </c>
    </row>
    <row r="5" ht="19.5" customHeight="1" s="42">
      <c r="A5" s="45" t="inlineStr">
        <is>
          <t>Term</t>
        </is>
      </c>
      <c r="B5" s="46" t="inlineStr">
        <is>
          <t>Autumn</t>
        </is>
      </c>
      <c r="F5" s="45" t="inlineStr">
        <is>
          <t>Group / class</t>
        </is>
      </c>
      <c r="G5" s="46" t="n"/>
    </row>
    <row r="6" ht="19.5" customHeight="1" s="42">
      <c r="A6" s="45" t="inlineStr">
        <is>
          <t>Theme</t>
        </is>
      </c>
      <c r="B6" s="47">
        <f>IF(B5="Autumn","Identity &amp; Belonging",IF(B5="Spring","Resilience &amp; Change",IF(B5="Summer","Our World, My Future","pick a term")))</f>
        <v/>
      </c>
      <c r="C6" s="48" t="n"/>
      <c r="D6" s="48" t="n"/>
      <c r="F6" s="45" t="inlineStr">
        <is>
          <t>Teacher</t>
        </is>
      </c>
      <c r="G6" s="46" t="n"/>
    </row>
    <row r="7" ht="19.5" customHeight="1" s="42">
      <c r="A7" s="45" t="inlineStr">
        <is>
          <t>Week commencing</t>
        </is>
      </c>
      <c r="B7" s="49" t="n">
        <v>46286</v>
      </c>
      <c r="F7" s="45" t="inlineStr">
        <is>
          <t>Reviewed by</t>
        </is>
      </c>
      <c r="G7" s="46" t="n"/>
    </row>
    <row r="8" ht="45.75" customHeight="1" s="42">
      <c r="A8" s="50" t="inlineStr">
        <is>
          <t>SMSC/BV this week: International Day of Peace (Mon 21 Sep) — whole-school reflection + calm tutor-time minute.  European Day of Languages Sat 26 Sep — 'hello' language-taster starter Fri.  PSHE rule-of-law panel links the BV assembly.  EVIDENCE: assembly print + EFL: community → SMSC Evidence Tracker.</t>
        </is>
      </c>
      <c r="B8" s="51" t="n"/>
      <c r="C8" s="51" t="n"/>
      <c r="D8" s="51" t="n"/>
      <c r="E8" s="51" t="n"/>
      <c r="F8" s="51" t="n"/>
      <c r="G8" s="51" t="n"/>
      <c r="H8" s="51" t="n"/>
      <c r="I8" s="51" t="n"/>
      <c r="J8" s="52" t="n"/>
    </row>
    <row r="9" ht="30" customHeight="1" s="42">
      <c r="A9" s="53" t="inlineStr">
        <is>
          <t>Subject</t>
        </is>
      </c>
      <c r="B9" s="53" t="inlineStr">
        <is>
          <t>SoW unit (this term)</t>
        </is>
      </c>
      <c r="C9" s="53" t="inlineStr">
        <is>
          <t>This week's outcome</t>
        </is>
      </c>
      <c r="D9" s="53" t="inlineStr">
        <is>
          <t>Activities</t>
        </is>
      </c>
      <c r="E9" s="53" t="inlineStr">
        <is>
          <t>Key vocabulary</t>
        </is>
      </c>
      <c r="F9" s="53" t="inlineStr">
        <is>
          <t>Resources required</t>
        </is>
      </c>
      <c r="G9" s="53" t="inlineStr">
        <is>
          <t>Assess. (F/S)</t>
        </is>
      </c>
      <c r="H9" s="53" t="inlineStr">
        <is>
          <t>Student adaptations</t>
        </is>
      </c>
      <c r="I9" s="53" t="inlineStr">
        <is>
          <t>Classroom support</t>
        </is>
      </c>
      <c r="J9" s="53" t="inlineStr">
        <is>
          <t>Evaluation (after teaching)</t>
        </is>
      </c>
    </row>
    <row r="10" ht="45.75" customHeight="1" s="42">
      <c r="A10" s="54" t="inlineStr">
        <is>
          <t>English</t>
        </is>
      </c>
      <c r="B10" s="55" t="inlineStr">
        <is>
          <t>Identity &amp; Belonging: speaking clearly about myself</t>
        </is>
      </c>
      <c r="C10" s="55" t="inlineStr">
        <is>
          <t>I can give a short spoken introduction using Standard English where appropriate.</t>
        </is>
      </c>
      <c r="D10" s="55" t="inlineStr">
        <is>
          <t>Arrival: identify strong/weak introductions → plan 4 sentences: name, strength, interest, goal → rehearse with adult/peer → deliver, audio-record or read aloud to staff → feedback on clarity.</t>
        </is>
      </c>
      <c r="E10" s="55" t="inlineStr">
        <is>
          <t>introduction, voice, clarity, audience, Standard English, confidence</t>
        </is>
      </c>
      <c r="F10" s="55" t="inlineStr">
        <is>
          <t>Speaking frame; example introductions; recording option; feedback checklist.</t>
        </is>
      </c>
      <c r="G10" s="56" t="inlineStr">
        <is>
          <t>F</t>
        </is>
      </c>
      <c r="H10" s="55" t="inlineStr">
        <is>
          <t>Option to record privately; sentence frame; visual prompts; no whole-class performance unless agreed.</t>
        </is>
      </c>
      <c r="I10" s="55" t="inlineStr">
        <is>
          <t>TA rehearses with anxious students. Teacher gathers SLC evidence and gives one improvement point.</t>
        </is>
      </c>
      <c r="J10" s="55" t="inlineStr">
        <is>
          <t>Record SLC evidence and confidence level.</t>
        </is>
      </c>
    </row>
    <row r="11" ht="330" customHeight="1" s="42">
      <c r="A11" s="57" t="inlineStr">
        <is>
          <t>Maths</t>
        </is>
      </c>
      <c r="B11" s="58" t="inlineStr">
        <is>
          <t>Number, calculation &amp; fractions (Y5/6)</t>
        </is>
      </c>
      <c r="C11" s="58" t="inlineStr">
        <is>
          <t>I can add and subtract large numbers and decimals accurately using efficient written and mental methods.</t>
        </is>
      </c>
      <c r="D11" s="59" t="inlineStr">
        <is>
          <t>Mental arithmetic starter.
Formal column methods.
Decimal calculations.
Error spotting activities.
Real-life budgeting and shopping tasks.</t>
        </is>
      </c>
      <c r="E11" s="59" t="inlineStr">
        <is>
          <t>Addition
Subtraction
Decimal
Calculate
Estimate
Exchange
Difference
Method</t>
        </is>
      </c>
      <c r="F11" s="59" t="inlineStr">
        <is>
          <t>Whiteboards
Worksheets
Place value charts
Calculators for checking
Interactive presentation</t>
        </is>
      </c>
      <c r="G11" s="58" t="inlineStr">
        <is>
          <t>F</t>
        </is>
      </c>
      <c r="H11" s="59" t="inlineStr">
        <is>
          <t>Use smaller numbers first.
Place value grids.
Worked examples.
Challenge through multi-step problems.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1" s="59" t="inlineStr">
        <is>
          <t>Explicit modelling.
Guided practice groups.
TA support with alignment of digits.</t>
        </is>
      </c>
      <c r="J11" s="58" t="inlineStr">
        <is>
          <t>Calculation task.
Marked independent work.
Peer assessment.
Arithmetic quiz.</t>
        </is>
      </c>
    </row>
    <row r="12" ht="339.75" customHeight="1" s="42">
      <c r="A12" s="54" t="inlineStr">
        <is>
          <t>Science</t>
        </is>
      </c>
      <c r="B12" s="56" t="inlineStr">
        <is>
          <t>White Rose Science Year 3 - Aut1·W4</t>
        </is>
      </c>
      <c r="C12" s="60" t="inlineStr">
        <is>
          <t>I can explain that muscles work in pairs to move a bone.</t>
        </is>
      </c>
      <c r="D12" s="56" t="inlineStr">
        <is>
          <t>v5 whiteboard deck 'Muscles Work in Pairs': Meet the pair; Make the model move; Explain the swap. Runs across BOTH weekly 40-min periods: Period 1 → up to We Do 2; Period 2 = extended Independent Work → Lundy → Exit, where the practical and the Assessor Witness evidence are made. One print pack covers both periods.</t>
        </is>
      </c>
      <c r="E12" s="56" t="inlineStr">
        <is>
          <t>muscle, contract, relax, pair, joint</t>
        </is>
      </c>
      <c r="F12" s="56" t="inlineStr">
        <is>
          <t>Science_Teesside/Build/SCI_B_W4_Muscle_Pairs.html (3-tier print pack off the title slide)</t>
        </is>
      </c>
      <c r="G12" s="56" t="inlineStr">
        <is>
          <t>F</t>
        </is>
      </c>
      <c r="H12" s="56" t="inlineStr">
        <is>
          <t>Tiered 3 ways (Supported/Standard/Stretch) at arrival, independent work and exit. Bodies and food are personal. Teach every idea on the model, the diagram or the picture card - never on a pupil's own body, and never on what a pupil has eaten. If a pupil steps out, the diagram waits for them.</t>
        </is>
      </c>
      <c r="I12" s="56" t="inlineStr">
        <is>
          <t>TA holds the hoops and prompts 'hard bit — inside or outside?'. Teacher lets every pupil handle every model. LOOP [Feedback Policy]: Voice = sort/handle/say the group [VF, ?] → Audience: name which hoop and why; [R] once received → EVIDENCE: hoop-sort photo, upload same day [E: science — daily EFL; banks ELC 8939].</t>
        </is>
      </c>
      <c r="J12" s="56" t="inlineStr">
        <is>
          <t>Note who uses 'inside/outside' language unprompted.  → Influence: builds the grouping skill needed for W7's food groups — same hoops, same rule [NS].</t>
        </is>
      </c>
    </row>
    <row r="13" ht="330" customHeight="1" s="42">
      <c r="A13" s="57" t="inlineStr">
        <is>
          <t>PSHE / RSE</t>
        </is>
      </c>
      <c r="B13" s="58" t="inlineStr">
        <is>
          <t>Identity, rights &amp; British values (PSHE Association KS3, adapted) · AQA UAS 'Rights &amp; responsibilities' · ladders toward Grow PSHE · SoW Aut1·W4</t>
        </is>
      </c>
      <c r="C13" s="58" t="inlineStr">
        <is>
          <t>I can say why we have rules and laws and what happens when one is broken.</t>
        </is>
      </c>
      <c r="D13" s="58" t="inlineStr">
        <is>
          <t>Zones check-in settles the session.  'You be the judge' — anonymised scenario picture cards: the panel agrees a fair consequence, then the reveal card shows what the law actually says → floor-line sort: walk each card to rule / law / personal choice → mini ages quiz with show-me cards (what age can you…?) → exit: one rule that keeps us safe, and why.  EVIDENCE: photographed panel verdicts + quiz round (banks AQA UAS).  GROW STRETCH: 'Going for Grow' card — why do consequences need to be fair, not just tough?</t>
        </is>
      </c>
      <c r="E13" s="58" t="inlineStr">
        <is>
          <t>rule, law, consequence, fair, safe, age, legal, choice</t>
        </is>
      </c>
      <c r="F13" s="58" t="inlineStr">
        <is>
          <t>Scenario picture cards + reveal cards; rule/law/choice floor line; ages show-me cards; camera.</t>
        </is>
      </c>
      <c r="G13" s="58" t="inlineStr">
        <is>
          <t>F</t>
        </is>
      </c>
      <c r="H13" s="58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Scenarios anonymised and pre-screened; verdicts agreed as a panel so no pupil answers alone; walking IS the sort.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3" s="58" t="inlineStr">
        <is>
          <t>TA sits on the panel and keeps deliberation concrete.  LOOP [Feedback Policy]: Voice = verdict/walk/show-me [VF] → Audience: name the rule-vs-law call back; [R] once used for real → EVIDENCE: verdict photos, same day [E: BV rule of law — daily EFL; banks AQA UAS].</t>
        </is>
      </c>
      <c r="J13" s="58" t="inlineStr">
        <is>
          <t>Influence: links to the live class charter — note who connects consequence to fairness for W5's choices work [NS].</t>
        </is>
      </c>
    </row>
    <row r="14" ht="330" customHeight="1" s="42">
      <c r="A14" s="54" t="inlineStr">
        <is>
          <t>RE</t>
        </is>
      </c>
      <c r="B14" s="56" t="inlineStr">
        <is>
          <t>Belief, festivals &amp; belonging (Kapow + RE, adapted) · ladders toward Grow RE · SoW Aut1·W4</t>
        </is>
      </c>
      <c r="C14" s="60" t="inlineStr">
        <is>
          <t>I can retell part of the Hanukkah story and say why light matters in it.</t>
        </is>
      </c>
      <c r="D14" s="56" t="inlineStr">
        <is>
          <t>Arrival: the hanukkiah — why 8 branches? take guesses → the story of the oil that lasted eight days told with the model hanukkiah: a pupil adds a candle at each story beat → hands-on rotation: dreidel for chocolate coins (the letters teach the story — CHECK ALLERGIES), paper hanukkiah build, latke taste if possible → each pupil voice-notes 'light matters in Hanukkah because…' over a photo of their make.  EVIDENCE: makes + voice-notes to the Festivals display.  GROW STRETCH: 'Going for Grow' card — retell the whole story in four picture beats.</t>
        </is>
      </c>
      <c r="E14" s="56" t="inlineStr">
        <is>
          <t>Hanukkah, Jewish, hanukkiah, oil, miracle, dreidel, light, eight</t>
        </is>
      </c>
      <c r="F14" s="56" t="inlineStr">
        <is>
          <t>Model hanukkiah + candles; dreidels + chocolate coins (CHECK ALLERGIES); paper-build kits; latke tasting (food hygiene); camera.</t>
        </is>
      </c>
      <c r="G14" s="56" t="inlineStr">
        <is>
          <t>F</t>
        </is>
      </c>
      <c r="H14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Story beats are physical (adding candles); the voice-note can be one word; tasting always opt-in.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4" s="56" t="inlineStr">
        <is>
          <t>TA runs the dreidel table and records voice-notes.  LOOP [Feedback Policy]: Voice = add-a-candle/play/voice-note [VF] → Audience: listen fully before tagging, then [R] → EVIDENCE: make photo + voice-note, same day [E: cultural — daily EFL].</t>
        </is>
      </c>
      <c r="J14" s="56" t="inlineStr">
        <is>
          <t>Influence: second column of the W6 comparison grid banked — note who transfers 'light' from Diwali unprompted [NS].</t>
        </is>
      </c>
    </row>
    <row r="15" ht="330" customHeight="1" s="42">
      <c r="A15" s="57" t="inlineStr">
        <is>
          <t>Humanities</t>
        </is>
      </c>
      <c r="B15" s="58" t="inlineStr">
        <is>
          <t>Migration &amp; identity in Britain (Kapow History, adapted) · NC KS2, supported · AQA UAS 'History around us' · ladders toward Grow Humanities · SoW Aut1·W4</t>
        </is>
      </c>
      <c r="C15" s="60" t="inlineStr">
        <is>
          <t>I can name one person from Black British history and say what they did.</t>
        </is>
      </c>
      <c r="D15" s="56" t="inlineStr">
        <is>
          <t>Arrival: 'who could this be?' — one picture-clue reveal at a time → model a mini-profile (who / what they did / why it matters) built from pictures → we do: build one profile together → you do: choose a person from a picture-supported BHM menu (include sport, food and local figures — Pupil D's hooks) and complete a profile card by sticking, drawing or scribing → add your card to the class 'People Who Shaped Britain' wall → exit: '…is important because…'.  EVIDENCE: profile cards + wall photo (banks AQA UAS).  GROW STRETCH: 'Going for Grow' card — add a date or place to your profile.</t>
        </is>
      </c>
      <c r="E15" s="56" t="inlineStr">
        <is>
          <t>Black History Month, profile, achievement, important, shaped, Britain</t>
        </is>
      </c>
      <c r="F15" s="56" t="inlineStr">
        <is>
          <t>Picture-clue reveal set; BHM picture menu (sport/food/local options); profile cards; wall display space; camera.</t>
        </is>
      </c>
      <c r="G15" s="56" t="inlineStr">
        <is>
          <t>F</t>
        </is>
      </c>
      <c r="H15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Profiles are stuck and scribed, not written; the menu guarantees a hook per pupil; one fact is the first rung.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5" s="56" t="inlineStr">
        <is>
          <t>TA builds alongside and scribes the 'important because' line.  LOOP [Feedback Policy]: Voice = choose/stick/say [VF, ?] → Audience: name the achievement back; [R] once received → EVIDENCE: card + wall photo, same day [E: humanities/BHM — daily EFL; banks AQA UAS].</t>
        </is>
      </c>
      <c r="J15" s="56" t="inlineStr">
        <is>
          <t>Influence: each pupil's figure rides into W5's importance line — keep cards accessible — record the change made [NS].</t>
        </is>
      </c>
    </row>
    <row r="16" ht="330" customHeight="1" s="42">
      <c r="A16" s="54" t="inlineStr">
        <is>
          <t>Arts (Arts Award)</t>
        </is>
      </c>
      <c r="B16" s="56" t="inlineStr">
        <is>
          <t>Identity in art &amp; developing skills (Trinity Arts Award Explore, supported) · AQA UAS 'Creating artwork' · toward Explore completion → Bronze (Launch) · SoW Creative Arts</t>
        </is>
      </c>
      <c r="C16" s="60" t="inlineStr">
        <is>
          <t>I can make my identity artwork using one idea borrowed from an artist.</t>
        </is>
      </c>
      <c r="D16" s="56" t="inlineStr">
        <is>
          <t>Arrival: one BHM artist's work on the big screen — say or point at what stands out → model borrowing ONE idea (a shape, a technique, a texture — not a copy) → we do: try the borrowed idea together on scrap → you do: create your identity piece from your Week 3 plan plus your one borrowed idea → exit: point to the part you're most proud of.  EVIDENCE: staged photos + log comment (Explore Part A/C link).  GROW STRETCH: 'Going for Grow' card — name the artist AND the borrowed idea in your log.</t>
        </is>
      </c>
      <c r="E16" s="56" t="inlineStr">
        <is>
          <t>inspire, borrow, idea, create, artist, technique, proud</t>
        </is>
      </c>
      <c r="F16" s="56" t="inlineStr">
        <is>
          <t>BHM artist images; scrap trial paper; each pupil's plan + materials (pre-ordered from W3); Explore log; camera.</t>
        </is>
      </c>
      <c r="G16" s="56" t="inlineStr">
        <is>
          <t>F</t>
        </is>
      </c>
      <c r="H16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borrowed idea can be gestural ('big shapes like his'); making time protected — minimal talk demands mid-make.  Pupil B: texture/pattern borrowings offered first.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6" s="56" t="inlineStr">
        <is>
          <t>TA shoots stage photos and scribes the proud-of line.  LOOP [Feedback Policy]: Voice = make + point + comment [VF] → Audience: name the borrowed idea back; [R] then one next step [NS] → EVIDENCE: staged photos to the Explore log, same day [E: Arts Award].</t>
        </is>
      </c>
      <c r="J16" s="56" t="inlineStr">
        <is>
          <t>Influence: pieces must survive to W5 intact — store safely; flag who can articulate the borrowing for moderation [NS].</t>
        </is>
      </c>
    </row>
    <row r="17" ht="45.75" customHeight="1" s="42">
      <c r="A17" s="57" t="inlineStr">
        <is>
          <t>PE</t>
        </is>
      </c>
      <c r="B17" s="58" t="n"/>
      <c r="C17" s="58" t="n"/>
      <c r="D17" s="58" t="n"/>
      <c r="E17" s="58" t="n"/>
      <c r="F17" s="58" t="n"/>
      <c r="G17" s="58" t="n"/>
      <c r="H17" s="58" t="n"/>
      <c r="I17" s="58" t="n"/>
      <c r="J17" s="58" t="n"/>
    </row>
    <row r="18" ht="45.75" customHeight="1" s="42">
      <c r="A18" s="54" t="inlineStr">
        <is>
          <t>ASDAN PEQ (WellbLeE3)</t>
        </is>
      </c>
      <c r="B18" s="56" t="inlineStr">
        <is>
          <t>ASDAN PEQ · WellbLeE3 · Aut·W4 — E3.2 what helps / what gets in the way</t>
        </is>
      </c>
      <c r="C18" s="56" t="inlineStr">
        <is>
          <t>I can name things that help and things that get in the way of my learning.</t>
        </is>
      </c>
      <c r="D18" s="56" t="inlineStr">
        <is>
          <t>Arrival: traffic-light sort — helps / gets in the way. I DO: model with a real example (noise, hunger, a break). WE DO: sort together. YOU DO: your own helps/barriers board; adult scribes; photo. E3.2 evidenced. Cross-timetable: every adult contributes one observation slip this week — evidence is gathered across the day, not in this slot alone.</t>
        </is>
      </c>
      <c r="E18" s="56" t="inlineStr">
        <is>
          <t>helps, barrier, gets in the way, noise, break, hunger, focus, notice</t>
        </is>
      </c>
      <c r="F18" s="56" t="inlineStr">
        <is>
          <t>Traffic-light sort cards; helps/barriers board; observation slips for all adults; Evidence Binder; camera.</t>
        </is>
      </c>
      <c r="G18" s="56" t="inlineStr">
        <is>
          <t>F</t>
        </is>
      </c>
      <c r="H18" s="56" t="inlineStr">
        <is>
          <t>Traffic-light cards are point-to, not write — every colour paired with a word/symbol (Pupil B); barriers discussed as 'things' not 'feelings'; any disclosure follows safeguarding process</t>
        </is>
      </c>
      <c r="I18" s="56" t="inlineStr">
        <is>
          <t>TA runs the traffic-light sort; teacher captures barrier language verbatim per pupil (min 2 factors each — E3.2.1); observation slips gathered from other lessons this week</t>
        </is>
      </c>
      <c r="J18" s="56" t="n"/>
    </row>
    <row r="19" ht="45.75" customHeight="1" s="42">
      <c r="A19" s="54" t="inlineStr">
        <is>
          <t>Slot 1 · Careers (ASDAN)</t>
        </is>
      </c>
      <c r="B19" s="56" t="inlineStr">
        <is>
          <t>Careers &amp; world of work — strengths to jobs (evidences ASDAN Living Independently M8; AQA UAS)</t>
        </is>
      </c>
      <c r="C19" s="56" t="inlineStr">
        <is>
          <t>I can describe a working day, including routines and timekeeping.</t>
        </is>
      </c>
      <c r="D19" s="56" t="inlineStr">
        <is>
          <t>Order a working-day timeline → clock-in role play → plan my own get-ready-for-work morning.</t>
        </is>
      </c>
      <c r="E19" s="56" t="inlineStr">
        <is>
          <t>strength, skill, job, worker, employer, routine, profile, evidence</t>
        </is>
      </c>
      <c r="F19" s="56" t="inlineStr">
        <is>
          <t>Strength cards; local jobs photo bank; profile posters; visitor link. W1 lesson: BUILD_L1_Careers_Strengths.html (evidence print incl. Yellow Box/WWW-EBI footer).</t>
        </is>
      </c>
      <c r="G19" s="56" t="inlineStr">
        <is>
          <t>F</t>
        </is>
      </c>
      <c r="H19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19" s="56" t="inlineStr">
        <is>
          <t>TA runs paired talk with stems; scribes for reluctant writers (note “TA scribed”); champions Pupil A early and often.</t>
        </is>
      </c>
      <c r="J19" s="56" t="n"/>
    </row>
    <row r="20" ht="45.75" customHeight="1" s="42">
      <c r="A20" s="54" t="inlineStr">
        <is>
          <t>Slot 2 · Vocational / D&amp;T (ASDAN)</t>
        </is>
      </c>
      <c r="B20" s="56" t="inlineStr">
        <is>
          <t>D&amp;T via ASDAN tasters: kitchen skills → Textiles design-make-evaluate (Aut1); Construction from Aut2</t>
        </is>
      </c>
      <c r="C20" s="56" t="inlineStr">
        <is>
          <t>I can design a simple textile item and choose my materials.</t>
        </is>
      </c>
      <c r="D20" s="56" t="inlineStr">
        <is>
          <t>Design frame (what is it / who is it for) → choose fabric and fastening → design signed off before making.</t>
        </is>
      </c>
      <c r="E20" s="56" t="inlineStr">
        <is>
          <t>tool, safety, hygiene, recipe, fabric, join, design, evaluate</t>
        </is>
      </c>
      <c r="F20" s="56" t="inlineStr">
        <is>
          <t>Kitchen + tools, PPE, recipe cards; fabrics &amp; fastenings. W1 lesson: BUILD_L1_Vocational_Kitchen_Induction.html.</t>
        </is>
      </c>
      <c r="G20" s="56" t="inlineStr">
        <is>
          <t>F</t>
        </is>
      </c>
      <c r="H20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0" s="56" t="inlineStr">
        <is>
          <t>TA runs safe-carry / wash-up stations; signs skill cards only when genuinely met; models every technique first.</t>
        </is>
      </c>
      <c r="J20" s="56" t="n"/>
    </row>
    <row r="21" ht="45.75" customHeight="1" s="42">
      <c r="A21" s="54" t="inlineStr">
        <is>
          <t>Slot 3 · PfA — ASDAN Living Independently</t>
        </is>
      </c>
      <c r="B21" s="56" t="inlineStr">
        <is>
          <t>ASDAN LI — M1 Earning &amp; Spending Money (Aut1) → M2 Keeping Track of Your Money (Aut2); Section A: 4 challenges over ~10 hrs = 1 credit per module</t>
        </is>
      </c>
      <c r="C21" s="56" t="inlineStr">
        <is>
          <t>Payslips and first jobs: I can say what a simple wage slip shows (links Careers slot).</t>
        </is>
      </c>
      <c r="D21" s="56" t="inlineStr">
        <is>
          <t>Sample payslip walk-through → find the wage/deductions → link to Careers working-day week.</t>
        </is>
      </c>
      <c r="E21" s="56" t="inlineStr">
        <is>
          <t>income, spending, wages, benefits, payslip, price, budget, bank</t>
        </is>
      </c>
      <c r="F21" s="56" t="inlineStr">
        <is>
          <t>Practice money + tins, payslip, price tags, money-map paper, spending diary; LI student book / e-portfolio. W1 lesson: BUILD_L1_LI_Where_Money_Comes_From.html.</t>
        </is>
      </c>
      <c r="G21" s="56" t="inlineStr">
        <is>
          <t>F</t>
        </is>
      </c>
      <c r="H21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1" s="56" t="inlineStr">
        <is>
          <t>TA runs wage-packet counting 1:1; money talk stays judgement-free; NO personal family finances recorded.</t>
        </is>
      </c>
      <c r="J21" s="56" t="n"/>
    </row>
    <row r="22" ht="45.75" customHeight="1" s="42">
      <c r="A22" s="54" t="inlineStr">
        <is>
          <t>Slot 4 · PfA — ASDAN FoodWise</t>
        </is>
      </c>
      <c r="B22" s="56" t="inlineStr">
        <is>
          <t>ASDAN FoodWise — M1 Healthy Eating (Aut1) → M2 Basic Food Safety (Aut2); Section A: 4 challenges over ~10 hrs = 1 credit per module</t>
        </is>
      </c>
      <c r="C22" s="56" t="inlineStr">
        <is>
          <t>Healthy swaps: I can redesign a snack to make it healthier and justify my choices.</t>
        </is>
      </c>
      <c r="D22" s="56" t="inlineStr">
        <is>
          <t>Snack redesign frame → swap cards → justify one swap aloud (scribed).</t>
        </is>
      </c>
      <c r="E22" s="56" t="inlineStr">
        <is>
          <t>food group, carbohydrate, protein, dairy, balance, label, hygiene, safety</t>
        </is>
      </c>
      <c r="F22" s="56" t="inlineStr">
        <is>
          <t>Eatwell mat + real foods, packaging for traffic-light labels, kitchen, display kit; FoodWise student book. SMSC anchor: World Food Day 16 Oct. W1 lesson: FW_L1_Food_Groups.html.</t>
        </is>
      </c>
      <c r="G22" s="56" t="inlineStr">
        <is>
          <t>F</t>
        </is>
      </c>
      <c r="H22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2" s="56" t="inlineStr">
        <is>
          <t>TA runs food-handling hygiene checks; allergy list confirmed with the office before EVERY food session; photo evidence per pupil per practical.</t>
        </is>
      </c>
      <c r="J22" s="56" t="n"/>
    </row>
    <row r="23" ht="45.75" customHeight="1" s="42">
      <c r="A23" s="54" t="inlineStr">
        <is>
          <t>Slot 5 · Community A — Community Project &amp; Vocational</t>
        </is>
      </c>
      <c r="B23" s="56" t="inlineStr">
        <is>
          <t>Community Project &amp; Vocational — sustained local contribution; ASDAN/UAS community evidence. Trips/Visits policy applies to ALL off-site work (approval 4 weeks ahead, min. two staff).</t>
        </is>
      </c>
      <c r="C23" s="56" t="inlineStr">
        <is>
          <t>I can plan the steps and resources we need.</t>
        </is>
      </c>
      <c r="D23" s="56" t="inlineStr">
        <is>
          <t>Big planning board: steps sequenced → resources listed → who-does-what confirmed.</t>
        </is>
      </c>
      <c r="E23" s="56" t="inlineStr">
        <is>
          <t>community, project, partner, role, responsibility, contribute, evidence</t>
        </is>
      </c>
      <c r="F23" s="56" t="inlineStr">
        <is>
          <t>Local partner venue; PPE as required; project log; camera. ICT embedded: digital project log.</t>
        </is>
      </c>
      <c r="G23" s="56" t="inlineStr">
        <is>
          <t>F</t>
        </is>
      </c>
      <c r="H23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3" s="56" t="inlineStr">
        <is>
          <t>TA supports allocated roles and captures the weekly log; off-site checklist confirmed before leaving site every time.</t>
        </is>
      </c>
      <c r="J23" s="56" t="n"/>
    </row>
    <row r="24" ht="45.75" customHeight="1" s="42">
      <c r="A24" s="54" t="inlineStr">
        <is>
          <t>Slot 6 · Community B — Junior/Young Duke + Social Enterprise</t>
        </is>
      </c>
      <c r="B24" s="56" t="inlineStr">
        <is>
          <t>Junior/Young Duke (Capable Kids) challenge levels + community &amp; social enterprise action · AQA UAS “Personal challenge”.</t>
        </is>
      </c>
      <c r="C24" s="56" t="inlineStr">
        <is>
          <t>I can take on a personal-responsibility challenge.</t>
        </is>
      </c>
      <c r="D24" s="56" t="inlineStr">
        <is>
          <t>Choose a responsibility (plant, job, kit) → agree the success check → start the week's log.</t>
        </is>
      </c>
      <c r="E24" s="56" t="inlineStr">
        <is>
          <t>challenge, pledge, evidence, resilience, kindness, independence</t>
        </is>
      </c>
      <c r="F24" s="56" t="inlineStr">
        <is>
          <t>Junior/Young Duke booklets (first aid, cookery, eco, independence challenges); challenge log; camera/tablet. SMSC anchors: Anti-Bullying Week 16–20 Nov, World Kindness Day 13 Nov.</t>
        </is>
      </c>
      <c r="G24" s="56" t="inlineStr">
        <is>
          <t>F</t>
        </is>
      </c>
      <c r="H24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4" s="56" t="inlineStr">
        <is>
          <t>TA witnesses and photographs each challenge attempt; tutor signs off only genuinely met challenges; pledge wall kept current.</t>
        </is>
      </c>
      <c r="J24" s="56" t="n"/>
    </row>
    <row r="26" ht="18" customHeight="1" s="42">
      <c r="A26" s="61" t="inlineStr">
        <is>
          <t>Enrichment &amp; wider opportunities this week   (trips, visitors, themed days, SMSC calendar link, PfA / community)</t>
        </is>
      </c>
    </row>
    <row r="27" ht="39.75" customHeight="1" s="42">
      <c r="A27" s="62" t="inlineStr">
        <is>
          <t>Mon 21 Sep: International Day of Peace — calm / belonging circle.  Fri 25 Sep: 'hello' in different languages taster (European Day of Languages Sat 26).  Whole-school theme assembly: Identity &amp; Belonging.  PfA / community: local walk.</t>
        </is>
      </c>
      <c r="B27" s="63" t="n"/>
      <c r="C27" s="63" t="n"/>
      <c r="D27" s="63" t="n"/>
      <c r="E27" s="63" t="n"/>
      <c r="F27" s="63" t="n"/>
      <c r="G27" s="63" t="n"/>
      <c r="H27" s="63" t="n"/>
      <c r="I27" s="63" t="n"/>
      <c r="J27" s="64" t="n"/>
    </row>
    <row r="28" ht="18" customHeight="1" s="42">
      <c r="A28" s="61" t="inlineStr">
        <is>
          <t>Resources &amp; support to prepare before the week   (printing, kit, bookings, briefing the team)</t>
        </is>
      </c>
    </row>
    <row r="29" ht="39.75" customHeight="1" s="42">
      <c r="A29" s="65" t="inlineStr">
        <is>
          <t>Print/prepare: word wall + stem strips, egg boxes/crates + counters, choice cards + stopwatches, judge scenario + reveal cards + ages quiz, Hanukkah kit (model hanukkiah, dreidels + chocolate coins — CHECK ALLERGIES, latke tasting — food hygiene), BHM picture menu + profile cards, BHM artist images + each pupil's plan materials (pre-order from W3 plans).  Confirm tasting consents.</t>
        </is>
      </c>
      <c r="B29" s="63" t="n"/>
      <c r="C29" s="63" t="n"/>
      <c r="D29" s="63" t="n"/>
      <c r="E29" s="63" t="n"/>
      <c r="F29" s="63" t="n"/>
      <c r="G29" s="63" t="n"/>
      <c r="H29" s="63" t="n"/>
      <c r="I29" s="63" t="n"/>
      <c r="J29" s="64" t="n"/>
    </row>
    <row r="30" ht="18" customHeight="1" s="42">
      <c r="A30" s="66" t="inlineStr">
        <is>
          <t xml:space="preserve">F = formative  ·  S = summative  ·  PfA = Preparing for Adulthood  </t>
        </is>
      </c>
    </row>
  </sheetData>
  <mergeCells count="9">
    <mergeCell ref="A1:J1"/>
    <mergeCell ref="A8:J8"/>
    <mergeCell ref="B6:D6"/>
    <mergeCell ref="A27:J27"/>
    <mergeCell ref="A30:J30"/>
    <mergeCell ref="A29:J29"/>
    <mergeCell ref="A26:J26"/>
    <mergeCell ref="A2:J2"/>
    <mergeCell ref="A28:J28"/>
  </mergeCells>
  <dataValidations count="4">
    <dataValidation sqref="B4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B5" showDropDown="0" showInputMessage="0" showErrorMessage="0" allowBlank="1" errorTitle="Choose from the list" error="Pick a value from the list." type="list" errorStyle="stop" operator="between">
      <formula1>"Autumn,Spring,Summer"</formula1>
      <formula2>0</formula2>
    </dataValidation>
    <dataValidation sqref="A10:A18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G10:G18" showDropDown="0" showInputMessage="0" showErrorMessage="0" allowBlank="1" errorTitle="Choose from the list" error="Pick a value from the list." type="list" errorStyle="stop" operator="between">
      <formula1>"F,S,F + 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5625" defaultRowHeight="14.25" zeroHeight="0" outlineLevelRow="0"/>
  <cols>
    <col width="16" customWidth="1" style="41" min="1" max="1"/>
    <col width="11" customWidth="1" style="41" min="2" max="2"/>
    <col width="10" customWidth="1" style="41" min="3" max="3"/>
    <col width="15" customWidth="1" style="41" min="4" max="4"/>
    <col width="26" customWidth="1" style="41" min="5" max="5"/>
    <col width="36" customWidth="1" style="41" min="6" max="7"/>
    <col width="22" customWidth="1" style="41" min="8" max="8"/>
    <col width="26" customWidth="1" style="41" min="9" max="9"/>
  </cols>
  <sheetData>
    <row r="1" ht="25.5" customHeight="1" s="42">
      <c r="A1" s="67" t="inlineStr">
        <is>
          <t>Student Adaptations</t>
        </is>
      </c>
    </row>
    <row r="2" ht="14.25" customHeight="1" s="42">
      <c r="A2" s="44" t="n"/>
    </row>
    <row r="4" ht="27.75" customHeight="1" s="42">
      <c r="A4" s="53" t="inlineStr">
        <is>
          <t>Name</t>
        </is>
      </c>
      <c r="B4" s="53" t="inlineStr">
        <is>
          <t>Pathway</t>
        </is>
      </c>
      <c r="C4" s="53" t="inlineStr">
        <is>
          <t>Year / KS</t>
        </is>
      </c>
      <c r="D4" s="53" t="inlineStr">
        <is>
          <t>Reading age band</t>
        </is>
      </c>
      <c r="E4" s="53" t="inlineStr">
        <is>
          <t>Communication / sensory needs</t>
        </is>
      </c>
      <c r="F4" s="53" t="inlineStr">
        <is>
          <t>Key scaffolds &amp; adaptations</t>
        </is>
      </c>
      <c r="G4" s="53" t="inlineStr">
        <is>
          <t>EHCP primary outcomes</t>
        </is>
      </c>
      <c r="H4" s="53" t="inlineStr">
        <is>
          <t>PfA focus</t>
        </is>
      </c>
      <c r="I4" s="53" t="inlineStr">
        <is>
          <t>Notes</t>
        </is>
      </c>
    </row>
    <row r="5" ht="174.75" customHeight="1" s="42">
      <c r="A5" s="54" t="inlineStr">
        <is>
          <t>Pupil A</t>
        </is>
      </c>
      <c r="B5" s="56" t="inlineStr">
        <is>
          <t>BUILD</t>
        </is>
      </c>
      <c r="C5" s="56" t="inlineStr">
        <is>
          <t>KS4</t>
        </is>
      </c>
      <c r="D5" s="68" t="n"/>
      <c r="E5" s="68" t="n"/>
      <c r="F5" s="68" t="n"/>
      <c r="G5" s="68" t="n"/>
      <c r="H5" s="68" t="n"/>
      <c r="I5" s="68" t="n"/>
    </row>
    <row r="6" ht="174.75" customHeight="1" s="42">
      <c r="A6" s="54" t="inlineStr">
        <is>
          <t>Pupil B</t>
        </is>
      </c>
      <c r="B6" s="56" t="inlineStr">
        <is>
          <t>BUILD</t>
        </is>
      </c>
      <c r="C6" s="56" t="inlineStr">
        <is>
          <t>KS4</t>
        </is>
      </c>
      <c r="D6" s="68" t="n"/>
      <c r="E6" s="68" t="n"/>
      <c r="F6" s="68" t="n"/>
      <c r="G6" s="68" t="n"/>
      <c r="H6" s="68" t="n"/>
      <c r="I6" s="68" t="n"/>
    </row>
    <row r="7" ht="174.75" customHeight="1" s="42">
      <c r="A7" s="54" t="inlineStr">
        <is>
          <t>Pupil C</t>
        </is>
      </c>
      <c r="B7" s="56" t="inlineStr">
        <is>
          <t>BUILD</t>
        </is>
      </c>
      <c r="C7" s="56" t="inlineStr">
        <is>
          <t>KS4</t>
        </is>
      </c>
      <c r="D7" s="68" t="n"/>
      <c r="E7" s="68" t="n"/>
      <c r="F7" s="68" t="n"/>
      <c r="G7" s="68" t="n"/>
      <c r="H7" s="68" t="n"/>
      <c r="I7" s="68" t="n"/>
    </row>
    <row r="8" ht="174.75" customHeight="1" s="42">
      <c r="A8" s="54" t="inlineStr">
        <is>
          <t>Pupil D</t>
        </is>
      </c>
      <c r="B8" s="56" t="inlineStr">
        <is>
          <t>BUILD</t>
        </is>
      </c>
      <c r="C8" s="56" t="inlineStr">
        <is>
          <t>KS4</t>
        </is>
      </c>
      <c r="D8" s="68" t="n"/>
      <c r="E8" s="68" t="n"/>
      <c r="F8" s="68" t="n"/>
      <c r="G8" s="68" t="n"/>
      <c r="H8" s="68" t="n"/>
      <c r="I8" s="68" t="n"/>
    </row>
    <row r="9" ht="30" customHeight="1" s="42">
      <c r="A9" s="69" t="n"/>
      <c r="B9" s="69" t="n"/>
      <c r="C9" s="69" t="n"/>
      <c r="D9" s="69" t="n"/>
      <c r="E9" s="69" t="n"/>
      <c r="F9" s="69" t="n"/>
      <c r="G9" s="69" t="n"/>
      <c r="H9" s="69" t="n"/>
      <c r="I9" s="69" t="n"/>
    </row>
    <row r="10" ht="30" customHeight="1" s="42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</row>
    <row r="11" ht="30" customHeight="1" s="42">
      <c r="A11" s="69" t="n"/>
      <c r="B11" s="69" t="n"/>
      <c r="C11" s="69" t="n"/>
      <c r="D11" s="69" t="n"/>
      <c r="E11" s="69" t="n"/>
      <c r="F11" s="69" t="n"/>
      <c r="G11" s="69" t="n"/>
      <c r="H11" s="69" t="n"/>
      <c r="I11" s="69" t="n"/>
    </row>
    <row r="12" ht="30" customHeight="1" s="4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</row>
    <row r="13" ht="30" customHeight="1" s="42">
      <c r="A13" s="69" t="n"/>
      <c r="B13" s="69" t="n"/>
      <c r="C13" s="69" t="n"/>
      <c r="D13" s="69" t="n"/>
      <c r="E13" s="69" t="n"/>
      <c r="F13" s="69" t="n"/>
      <c r="G13" s="69" t="n"/>
      <c r="H13" s="69" t="n"/>
      <c r="I13" s="69" t="n"/>
    </row>
    <row r="14" ht="30" customHeight="1" s="42">
      <c r="A14" s="70" t="n"/>
      <c r="B14" s="70" t="n"/>
      <c r="C14" s="70" t="n"/>
      <c r="D14" s="70" t="n"/>
      <c r="E14" s="70" t="n"/>
      <c r="F14" s="70" t="n"/>
      <c r="G14" s="70" t="n"/>
      <c r="H14" s="70" t="n"/>
      <c r="I14" s="70" t="n"/>
    </row>
    <row r="15" ht="30" customHeight="1" s="42">
      <c r="A15" s="69" t="n"/>
      <c r="B15" s="69" t="n"/>
      <c r="C15" s="69" t="n"/>
      <c r="D15" s="69" t="n"/>
      <c r="E15" s="69" t="n"/>
      <c r="F15" s="69" t="n"/>
      <c r="G15" s="69" t="n"/>
      <c r="H15" s="69" t="n"/>
      <c r="I15" s="69" t="n"/>
    </row>
    <row r="16" ht="30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30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30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30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</sheetData>
  <mergeCells count="2">
    <mergeCell ref="A1:I1"/>
    <mergeCell ref="A2:I2"/>
  </mergeCells>
  <conditionalFormatting sqref="B5:B19">
    <cfRule type="cellIs" rank="0" priority="2" equalAverage="0" operator="equal" aboveAverage="0" dxfId="0" text="" percent="0" bottom="0">
      <formula>"BUILD"</formula>
    </cfRule>
    <cfRule type="cellIs" rank="0" priority="3" equalAverage="0" operator="equal" aboveAverage="0" dxfId="1" text="" percent="0" bottom="0">
      <formula>"GROW"</formula>
    </cfRule>
    <cfRule type="cellIs" rank="0" priority="4" equalAverage="0" operator="equal" aboveAverage="0" dxfId="2" text="" percent="0" bottom="0">
      <formula>"LAUNCH"</formula>
    </cfRule>
  </conditionalFormatting>
  <dataValidations count="1">
    <dataValidation sqref="B5:B19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baseColWidth="8" defaultColWidth="8.5625" defaultRowHeight="14.25" zeroHeight="0" outlineLevelRow="0"/>
  <cols>
    <col width="12" customWidth="1" style="41" min="1" max="1"/>
    <col width="11" customWidth="1" style="41" min="2" max="2"/>
    <col width="16" customWidth="1" style="41" min="3" max="3"/>
    <col width="28" customWidth="1" style="41" min="4" max="4"/>
    <col width="24" customWidth="1" style="41" min="5" max="5"/>
    <col width="9" customWidth="1" style="41" min="6" max="6"/>
    <col width="24" customWidth="1" style="41" min="7" max="7"/>
    <col width="18" customWidth="1" style="41" min="8" max="8"/>
    <col width="26" customWidth="1" style="41" min="9" max="9"/>
  </cols>
  <sheetData>
    <row r="1" ht="25.5" customHeight="1" s="42">
      <c r="A1" s="71" t="inlineStr">
        <is>
          <t xml:space="preserve">Outcome Tracker </t>
        </is>
      </c>
    </row>
    <row r="2" ht="14.25" customHeight="1" s="42">
      <c r="A2" s="72" t="inlineStr">
        <is>
          <t xml:space="preserve">Did everyone make progress and meet the outcome? </t>
        </is>
      </c>
    </row>
    <row r="3" ht="18" customHeight="1" s="42">
      <c r="A3" s="73" t="inlineStr">
        <is>
          <t>GREEN</t>
        </is>
      </c>
      <c r="B3" s="74" t="inlineStr">
        <is>
          <t>All demonstrated progress &amp; achieved the outcome</t>
        </is>
      </c>
      <c r="D3" s="75" t="inlineStr">
        <is>
          <t>AMBER</t>
        </is>
      </c>
      <c r="E3" s="74" t="inlineStr">
        <is>
          <t>Partly met, revisit in class</t>
        </is>
      </c>
      <c r="G3" s="76" t="inlineStr">
        <is>
          <t>RED</t>
        </is>
      </c>
      <c r="H3" s="74" t="inlineStr">
        <is>
          <t>Not met, pick up through intervention</t>
        </is>
      </c>
    </row>
    <row r="4"/>
    <row r="5" ht="27.75" customHeight="1" s="42">
      <c r="A5" s="53" t="inlineStr">
        <is>
          <t>Week (w/c)</t>
        </is>
      </c>
      <c r="B5" s="53" t="inlineStr">
        <is>
          <t>Pathway</t>
        </is>
      </c>
      <c r="C5" s="53" t="inlineStr">
        <is>
          <t>Subject</t>
        </is>
      </c>
      <c r="D5" s="53" t="inlineStr">
        <is>
          <t>Outcome reviewed</t>
        </is>
      </c>
      <c r="E5" s="53" t="inlineStr">
        <is>
          <t>Marking / evidence</t>
        </is>
      </c>
      <c r="F5" s="53" t="inlineStr">
        <is>
          <t>RAG</t>
        </is>
      </c>
      <c r="G5" s="53" t="inlineStr">
        <is>
          <t>Students not yet secure</t>
        </is>
      </c>
      <c r="H5" s="53" t="inlineStr">
        <is>
          <t>Picked up via</t>
        </is>
      </c>
      <c r="I5" s="53" t="inlineStr">
        <is>
          <t>Action &amp; timescale</t>
        </is>
      </c>
    </row>
    <row r="6" ht="30" customHeight="1" s="42">
      <c r="A6" s="77" t="n">
        <v>46286</v>
      </c>
      <c r="B6" s="70" t="inlineStr">
        <is>
          <t>BUILD</t>
        </is>
      </c>
      <c r="C6" s="70" t="inlineStr">
        <is>
          <t>English</t>
        </is>
      </c>
      <c r="D6" s="55" t="inlineStr">
        <is>
          <t>Students prepared and delivered or recorded a short spoken introduction.</t>
        </is>
      </c>
      <c r="E6" s="70" t="n"/>
      <c r="F6" s="70" t="n"/>
      <c r="G6" s="70" t="n"/>
      <c r="H6" s="70" t="n"/>
      <c r="I6" s="70" t="n"/>
    </row>
    <row r="7" ht="30" customHeight="1" s="42">
      <c r="A7" s="77" t="n">
        <v>46286</v>
      </c>
      <c r="B7" s="56" t="inlineStr">
        <is>
          <t>BUILD</t>
        </is>
      </c>
      <c r="C7" s="70" t="inlineStr">
        <is>
          <t>Maths</t>
        </is>
      </c>
      <c r="D7" s="58" t="inlineStr">
        <is>
          <t>I can add and subtract large numbers and decimals accurately using efficient written and mental methods.</t>
        </is>
      </c>
      <c r="E7" s="70" t="n"/>
      <c r="F7" s="70" t="n"/>
      <c r="G7" s="70" t="n"/>
      <c r="H7" s="70" t="n"/>
      <c r="I7" s="70" t="n"/>
    </row>
    <row r="8" ht="30" customHeight="1" s="42">
      <c r="A8" s="77" t="n">
        <v>46286</v>
      </c>
      <c r="B8" s="56" t="inlineStr">
        <is>
          <t>BUILD</t>
        </is>
      </c>
      <c r="C8" s="56" t="inlineStr">
        <is>
          <t>Science</t>
        </is>
      </c>
      <c r="D8" s="56" t="inlineStr">
        <is>
          <t>I can explain that muscles work in pairs to move a bone.</t>
        </is>
      </c>
      <c r="E8" s="56" t="n"/>
      <c r="F8" s="56" t="n"/>
      <c r="G8" s="56" t="n"/>
      <c r="H8" s="56" t="n"/>
      <c r="I8" s="56" t="n"/>
    </row>
    <row r="9" ht="30" customHeight="1" s="42">
      <c r="A9" s="77" t="n">
        <v>46286</v>
      </c>
      <c r="B9" s="56" t="inlineStr">
        <is>
          <t>BUILD</t>
        </is>
      </c>
      <c r="C9" s="56" t="inlineStr">
        <is>
          <t>PSHE / RSE</t>
        </is>
      </c>
      <c r="D9" s="56" t="inlineStr">
        <is>
          <t>I can say why we have rules and laws and what happens when one is broken.</t>
        </is>
      </c>
      <c r="E9" s="56" t="n"/>
      <c r="F9" s="56" t="n"/>
      <c r="G9" s="56" t="n"/>
      <c r="H9" s="56" t="n"/>
      <c r="I9" s="56" t="n"/>
    </row>
    <row r="10" ht="30" customHeight="1" s="42">
      <c r="A10" s="77" t="n">
        <v>46286</v>
      </c>
      <c r="B10" s="56" t="inlineStr">
        <is>
          <t>BUILD</t>
        </is>
      </c>
      <c r="C10" s="56" t="inlineStr">
        <is>
          <t>Humanities</t>
        </is>
      </c>
      <c r="D10" s="56" t="inlineStr">
        <is>
          <t>I can name one person from Black British history and say what they did.</t>
        </is>
      </c>
      <c r="E10" s="56" t="n"/>
      <c r="F10" s="56" t="n"/>
      <c r="G10" s="56" t="n"/>
      <c r="H10" s="56" t="n"/>
      <c r="I10" s="56" t="n"/>
    </row>
    <row r="11" ht="30" customHeight="1" s="42">
      <c r="A11" s="77" t="n">
        <v>46286</v>
      </c>
      <c r="B11" s="56" t="inlineStr">
        <is>
          <t>BUILD</t>
        </is>
      </c>
      <c r="C11" s="56" t="inlineStr">
        <is>
          <t>Arts (Arts Award)</t>
        </is>
      </c>
      <c r="D11" s="56" t="inlineStr">
        <is>
          <t>I can make my identity artwork using one idea borrowed from an artist.</t>
        </is>
      </c>
      <c r="E11" s="56" t="n"/>
      <c r="F11" s="56" t="n"/>
      <c r="G11" s="56" t="n"/>
      <c r="H11" s="56" t="n"/>
      <c r="I11" s="56" t="n"/>
    </row>
    <row r="12" ht="30" customHeight="1" s="42">
      <c r="A12" s="77" t="n">
        <v>46286</v>
      </c>
      <c r="B12" s="56" t="inlineStr">
        <is>
          <t>BUILD</t>
        </is>
      </c>
      <c r="C12" s="69" t="inlineStr">
        <is>
          <t>RE</t>
        </is>
      </c>
      <c r="D12" s="60" t="inlineStr">
        <is>
          <t>I can retell part of the Hanukkah story and say why light matters in it.</t>
        </is>
      </c>
      <c r="E12" s="69" t="n"/>
      <c r="F12" s="69" t="n"/>
      <c r="G12" s="69" t="n"/>
      <c r="H12" s="69" t="n"/>
      <c r="I12" s="69" t="n"/>
    </row>
    <row r="13" ht="30" customHeight="1" s="42">
      <c r="A13" s="78" t="n">
        <v>46286</v>
      </c>
      <c r="B13" s="69" t="inlineStr">
        <is>
          <t>BUILD</t>
        </is>
      </c>
      <c r="C13" s="69" t="inlineStr">
        <is>
          <t>ASDAN PEQ (WellbLeE3)</t>
        </is>
      </c>
      <c r="D13" s="69" t="inlineStr">
        <is>
          <t>I can name things that help and things that get in the way of my learning.</t>
        </is>
      </c>
      <c r="E13" s="69" t="inlineStr">
        <is>
          <t>PEQ portfolio: photos + scribed voice + witness statements</t>
        </is>
      </c>
      <c r="F13" s="69" t="n"/>
      <c r="G13" s="69" t="n"/>
      <c r="H13" s="69" t="n"/>
      <c r="I13" s="69" t="n"/>
    </row>
    <row r="14" ht="30" customHeight="1" s="42">
      <c r="A14" s="79" t="n">
        <v>46286</v>
      </c>
      <c r="B14" s="70" t="inlineStr">
        <is>
          <t>BUILD</t>
        </is>
      </c>
      <c r="C14" s="70" t="inlineStr">
        <is>
          <t>PfA — ASDAN LI</t>
        </is>
      </c>
      <c r="D14" s="70" t="inlineStr">
        <is>
          <t>Payslips and first jobs: I can say what a simple wage slip shows (links Careers slot).</t>
        </is>
      </c>
      <c r="E14" s="70" t="inlineStr">
        <is>
          <t>LI portfolio: challenge evidence + skills grid</t>
        </is>
      </c>
      <c r="F14" s="70" t="n"/>
      <c r="G14" s="70" t="n"/>
      <c r="H14" s="70" t="n"/>
      <c r="I14" s="70" t="n"/>
    </row>
    <row r="15" ht="25.5" customHeight="1" s="42">
      <c r="A15" s="78" t="n">
        <v>46286</v>
      </c>
      <c r="B15" s="69" t="inlineStr">
        <is>
          <t>BUILD</t>
        </is>
      </c>
      <c r="C15" s="69" t="inlineStr">
        <is>
          <t>PfA — ASDAN FoodWise</t>
        </is>
      </c>
      <c r="D15" s="69" t="inlineStr">
        <is>
          <t>Healthy swaps: I can redesign a snack to make it healthier and justify my choices.</t>
        </is>
      </c>
      <c r="E15" s="69" t="inlineStr">
        <is>
          <t>FoodWise portfolio: challenge evidence + photos</t>
        </is>
      </c>
      <c r="F15" s="69" t="n"/>
      <c r="G15" s="69" t="n"/>
      <c r="H15" s="69" t="n"/>
      <c r="I15" s="69" t="n"/>
    </row>
    <row r="16" ht="25.5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25.5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25.5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25.5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  <row r="20" ht="25.5" customHeight="1" s="42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</row>
    <row r="21" ht="25.5" customHeight="1" s="42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</row>
    <row r="22" ht="25.5" customHeight="1" s="42"/>
    <row r="23" ht="25.5" customHeight="1" s="42">
      <c r="C23" s="80" t="inlineStr">
        <is>
          <t>This sheet:</t>
        </is>
      </c>
      <c r="D23" s="81">
        <f>COUNTIF($F$8:$F$18,"Green")</f>
        <v/>
      </c>
      <c r="E23" s="82">
        <f>COUNTIF($F$8:$F$18,"Amber")</f>
        <v/>
      </c>
      <c r="F23" s="83">
        <f>COUNTIF($F$8:$F$18,"Red")</f>
        <v/>
      </c>
    </row>
    <row r="24" ht="25.5" customHeight="1" s="42">
      <c r="D24" s="84" t="inlineStr">
        <is>
          <t>Green</t>
        </is>
      </c>
      <c r="E24" s="84" t="inlineStr">
        <is>
          <t>Amber</t>
        </is>
      </c>
      <c r="F24" s="84" t="inlineStr">
        <is>
          <t>Red</t>
        </is>
      </c>
    </row>
    <row r="25" ht="25.5" customHeight="1" s="42"/>
    <row r="26" ht="25.5" customHeight="1" s="42"/>
  </sheetData>
  <mergeCells count="5">
    <mergeCell ref="A2:I2"/>
    <mergeCell ref="B3:C3"/>
    <mergeCell ref="A1:I1"/>
    <mergeCell ref="E3:F3"/>
    <mergeCell ref="H3:I3"/>
  </mergeCells>
  <conditionalFormatting sqref="F6:F26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3" text="" percent="0" bottom="0">
      <formula>"Amber"</formula>
    </cfRule>
    <cfRule type="cellIs" rank="0" priority="4" equalAverage="0" operator="equal" aboveAverage="0" dxfId="4" text="" percent="0" bottom="0">
      <formula>"Red"</formula>
    </cfRule>
  </conditionalFormatting>
  <dataValidations count="4">
    <dataValidation sqref="B6:B26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C6:C26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F6:F26" showDropDown="0" showInputMessage="0" showErrorMessage="0" allowBlank="1" errorTitle="Choose from the list" error="Pick a value from the list." type="list" errorStyle="stop" operator="between">
      <formula1>"Green,Amber,Red"</formula1>
      <formula2>0</formula2>
    </dataValidation>
    <dataValidation sqref="H6:H26" showDropDown="0" showInputMessage="0" showErrorMessage="0" allowBlank="1" errorTitle="Choose from the list" error="Pick a value from the list." type="list" errorStyle="stop" operator="between">
      <formula1>"Achieved (move on),Revisit in class,Intervention"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2026-06-22T07:46:21Z</dcterms:created>
  <dcterms:modified xsi:type="dcterms:W3CDTF">2026-07-29T16:31:01Z</dcterms:modified>
  <cp:lastModifiedBy>Helen Stewart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0x0101002C6E38C4B2056147BFEE88C7F682B392</vt:lpwstr>
  </property>
  <property name="MediaServiceImageTags" fmtid="{D5CDD505-2E9C-101B-9397-08002B2CF9AE}" pid="3">
    <vt:lpwstr/>
  </property>
</Properties>
</file>