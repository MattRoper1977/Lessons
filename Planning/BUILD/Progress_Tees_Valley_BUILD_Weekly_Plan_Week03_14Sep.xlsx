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eekly Plan" sheetId="1" state="visible" r:id="rId3"/>
    <sheet name="Students" sheetId="2" state="visible" r:id="rId4"/>
    <sheet name="Outcomes RA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<sst xmlns="http://schemas.openxmlformats.org/spreadsheetml/2006/main" count="238" uniqueCount="184">
  <si>
    <t xml:space="preserve">Weekly Planner - To be submitted to Head of School prior to the start of each Half-Term</t>
  </si>
  <si>
    <t xml:space="preserve">Progress Schools  ·  linked to the 2026/27 Schemes of Work</t>
  </si>
  <si>
    <t xml:space="preserve">Pathway</t>
  </si>
  <si>
    <t xml:space="preserve">BUILD</t>
  </si>
  <si>
    <t xml:space="preserve">Week no.</t>
  </si>
  <si>
    <t xml:space="preserve">Term</t>
  </si>
  <si>
    <t xml:space="preserve">Autumn</t>
  </si>
  <si>
    <t xml:space="preserve">Group / class</t>
  </si>
  <si>
    <t xml:space="preserve">Theme</t>
  </si>
  <si>
    <t xml:space="preserve">Teacher</t>
  </si>
  <si>
    <t xml:space="preserve">Week commencing</t>
  </si>
  <si>
    <t xml:space="preserve">Reviewed by</t>
  </si>
  <si>
    <t xml:space="preserve">SMSC/BV this week: Build RE begins the festivals-of-light block (Diwali) — pre-teaching ahead of the November festival; makes start the Festivals-of-Light display (EFL: cultural).  PSHE's real class vote = democracy in action — log in the BV hub.  PREP: International Day of Peace is Monday of next week.</t>
  </si>
  <si>
    <t xml:space="preserve">Subject</t>
  </si>
  <si>
    <t xml:space="preserve">SoW unit (this term)</t>
  </si>
  <si>
    <t xml:space="preserve">This week's outcome</t>
  </si>
  <si>
    <t xml:space="preserve">Activities</t>
  </si>
  <si>
    <t xml:space="preserve">Key vocabulary</t>
  </si>
  <si>
    <t xml:space="preserve">Resources required</t>
  </si>
  <si>
    <t xml:space="preserve">Assess. (F/S)</t>
  </si>
  <si>
    <t xml:space="preserve">Student adaptations</t>
  </si>
  <si>
    <t xml:space="preserve">Classroom support</t>
  </si>
  <si>
    <t xml:space="preserve">Evaluation (after teaching)</t>
  </si>
  <si>
    <t xml:space="preserve">English</t>
  </si>
  <si>
    <t xml:space="preserve">Identity &amp; Belonging: skills and qualities for work</t>
  </si>
  <si>
    <t xml:space="preserve">I can explain the difference between a skill and a quality using examples.</t>
  </si>
  <si>
    <t xml:space="preserve">Arrival: sort cards into skill/quality → teacher models examples → students match skills to jobs/situations → write or say: 'This skill is useful because…'</t>
  </si>
  <si>
    <t xml:space="preserve">skill, quality, reliable, organised, teamwork, communication
</t>
  </si>
  <si>
    <t xml:space="preserve">Skill/quality cards; job scenario cards; sentence stems; mini whiteboards.</t>
  </si>
  <si>
    <t xml:space="preserve">F</t>
  </si>
  <si>
    <t xml:space="preserve">Use images/examples; reduce number of cards; oral answer option; writing frame.</t>
  </si>
  <si>
    <t xml:space="preserve">TA supports sorting and asks prompting questions. Teacher checks vocabulary understanding.</t>
  </si>
  <si>
    <t xml:space="preserve">Note vocabulary gaps and students able to explain examples.</t>
  </si>
  <si>
    <t xml:space="preserve">Maths</t>
  </si>
  <si>
    <t xml:space="preserve">Number, calculation &amp; fractions (Y5/6)</t>
  </si>
  <si>
    <t xml:space="preserve">I can recognise, compare and use negative numbers in real-life situations and count forwards and backwards through zero.</t>
  </si>
  <si>
    <t xml:space="preserve">Temperature investigations.
Elevator/floor number activities.
Number line work extending below zero.
Compare and order positive and negative numbers.
Contextual problem solving.</t>
  </si>
  <si>
    <t xml:space="preserve">Negative
Positive
Zero
Below
Above
Temperature
Difference
Integer</t>
  </si>
  <si>
    <t xml:space="preserve">Vertical number lines
Thermometer diagrams
Interactive activities
Whiteboards
Worksheets</t>
  </si>
  <si>
    <t xml:space="preserve">Concrete contexts first.
Visual number lines.
Reduced number range.
Extension with multiple negative values.Pupil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</si>
  <si>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Teacher modelling.
Structured discussion.
TA-supported practical activities.</t>
  </si>
  <si>
    <t xml:space="preserve">Number line assessment.
Problem-solving task.
Questioning during activities.
Exit ticket.</t>
  </si>
  <si>
    <t xml:space="preserve">Science</t>
  </si>
  <si>
    <t xml:space="preserve">Animals including humans: skeletons, movement &amp; nutrition (White Rose Science Y3) · Pearson Entry Level Science 8939 intro (supported entry) · ladders toward Grow ELC → GCSE Biology 1BI0 (Launch) · SoW Aut1·W3  [REALIGNED to SoW]</t>
  </si>
  <si>
    <t xml:space="preserve">I can name the major bones in my body.</t>
  </si>
  <si>
    <t xml:space="preserve">Hands-on &amp; catch-up-proof: 'point to the part' recap opens.  Arrival: 'find it on you' — skull, ribs, spine, pelvis, femur. I DO: model naming on the skeleton, touching mine at the same time. WE DO: place large bone labels on the floor body outline together. YOU DO: label your own body outline (drawn round you on the floor) with symbol-supported bone labels. EXIT: point to your femur.  STRETCH: the femur is the longest bone — measure yours.</t>
  </si>
  <si>
    <t xml:space="preserve">skull, ribs, spine, backbone, pelvis, femur, bone, label, longest</t>
  </si>
  <si>
    <t xml:space="preserve">Skeleton model; floor-size body outlines (draw round each pupil); large bone labels (word + picture); tape measures; camera; magenta copies.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</si>
  <si>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Being drawn round is high-engagement and consent-based — offer, never insist; a spare outline is available for anyone who declines.</t>
  </si>
  <si>
    <t xml:space="preserve">TA draws round pupils who want it and manages the floor space. Teacher touches their own bone every time a name is said — mirror learning. LOOP [Feedback Policy]: Voice = point/place the label/say the name [VF, ?] → Audience: name one bone back; [R] once received → EVIDENCE: labelled outline photo, upload same day [E: science — daily EFL; banks ELC 8939].</t>
  </si>
  <si>
    <t xml:space="preserve">Note who names 3+ bones unprompted.  → Influence: bone names are needed for W5 muscles — carry the labels forward, do not clear them away [NS].</t>
  </si>
  <si>
    <t xml:space="preserve">PSHE / RSE</t>
  </si>
  <si>
    <t xml:space="preserve">Identity, rights &amp; British values (PSHE Association KS3, adapted) · AQA UAS 'Rights &amp; responsibilities' · ladders toward Grow PSHE · SoW Aut1·W3</t>
  </si>
  <si>
    <t xml:space="preserve">I can take part in a fair class vote.</t>
  </si>
  <si>
    <t xml:space="preserve">Zones check-in settles the session.  Builds on the W2 charter: run a REAL vote — two rec-time options pitched (pupils present or choose a presenter) → make simple posters or a 15-sec phone ad per side → secret ballot with a real ballot box and booth → count the votes together, in front of everyone → debrief: what made it fair? (secret, one each, counted openly) → exit: 'the vote was fair because…'.  EVIDENCE: ballot photos + count clip (banks AQA UAS).  GROW STRETCH: 'Going for Grow' card — what would make a vote UNfair?</t>
  </si>
  <si>
    <t xml:space="preserve">vote, ballot, secret, fair, count, choice, democracy</t>
  </si>
  <si>
    <t xml:space="preserve">Ballot box &amp; booth; ballot slips (symbol-supported); poster/ad materials; phone for 15-sec ads;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</si>
  <si>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Voting is by mark or symbol slip; presenting is opt-in with proxy allowed; the count is visual (tally tower).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</si>
  <si>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runs the booth and supports the tally.  LOOP [Feedback Policy]: Voice = pitch/vote/count [VF] → Audience: name the fair-vote rule back; [R] once used for real → EVIDENCE: photos + clip, same day [E: BV democracy — daily EFL; banks AQA UAS].</t>
  </si>
  <si>
    <t xml:space="preserve">Influence: the winning option HAPPENS (that's the point) → pupil-voice log and the BV hub RAG; who links rules to fairness feeds W4 [NS].</t>
  </si>
  <si>
    <t xml:space="preserve">RE</t>
  </si>
  <si>
    <t xml:space="preserve">Belief, festivals &amp; belonging (Kapow + RE, adapted) · ladders toward Grow RE · SoW Aut1·W3</t>
  </si>
  <si>
    <t xml:space="preserve">I can say what Diwali celebrates and join in respectfully.</t>
  </si>
  <si>
    <t xml:space="preserve">Arrival: an LED diya lit in a darkened room — what changes when light arrives? → the story of Rama and Sita told with props/shadow puppets (pupils operate the puppets) → hands-on rotation: rangoli patterns in coloured sand/rice (patterns labelled by NAME for Pupil B — never colour alone), clay diya making, mehndi-pattern design → each pupil records a 15-sec 'Diwali celebrates…' over a photo of their make.  EVIDENCE: makes + clips — the Festivals-of-Light display starts here.  GROW STRETCH: 'Going for Grow' card — say why light beats darkness in the story.</t>
  </si>
  <si>
    <t xml:space="preserve">Diwali, Hindu, diya, light, Rama, Sita, celebrate, rangoli</t>
  </si>
  <si>
    <t xml:space="preserve">LED diyas; shadow-puppet set; coloured sand/rice + named pattern guides; clay; mehndi design sheets;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</si>
  <si>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Every station has a no-fail route (trace the pattern, press the clay); the 15-sec clip can be one word + the make.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</si>
  <si>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runs the rotation and records each clip.  LOOP [Feedback Policy]: Voice = make + 15-sec clip [VF] → Audience: listen fully before tagging, then [R] → EVIDENCE: make photo + clip to the display, same day [E: cultural — daily EFL].</t>
  </si>
  <si>
    <t xml:space="preserve">Influence: makes and clips seed the W6 comparison grid and W8 showcase — keep everything — record the change made [NS].</t>
  </si>
  <si>
    <t xml:space="preserve">Humanities</t>
  </si>
  <si>
    <t xml:space="preserve">Migration &amp; identity in Britain (Kapow History, adapted) · NC KS2, supported · AQA UAS 'History around us' · ladders toward Grow Humanities · SoW Aut1·W3</t>
  </si>
  <si>
    <t xml:space="preserve">I can give one reason people came to Britain and one thing that changed.</t>
  </si>
  <si>
    <t xml:space="preserve">Arrival: 'why move house?' — sort picture reasons (job, safety, family) → model cause→consequence arrows (came for work → new communities grew) → local hook: who came to work in Teesside's steel, docks and railways — then-and-now photos of our own area → you do: build one 'because… so…' arrow strip with picture cards → exit: say your arrow aloud.  EVIDENCE: arrow strips + photos (banks AQA UAS).  GROW STRETCH: 'Going for Grow' card — build a second arrow from a different reason.</t>
  </si>
  <si>
    <t xml:space="preserve">reason, cause, consequence, because, so, work, safety, community</t>
  </si>
  <si>
    <t xml:space="preserve">Picture reason cards; arrow strips; Teesside then-and-now photos (steel, docks, railways);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</si>
  <si>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Arrows are physical card strips — no writing; 'because… so…' said aloud or scribed; local photos keep it concrete.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</si>
  <si>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builds the first arrow with the group and scribes each spoken arrow.  LOOP [Feedback Policy]: Voice = build/say the arrow [VF, ?] → Audience: name cause and consequence back; [R] once received → EVIDENCE: strip photo, same day [E: humanities — daily EFL; banks AQA UAS].</t>
  </si>
  <si>
    <t xml:space="preserve">Influence: who separates cause from consequence shapes W4's profile work — record the change made [NS].</t>
  </si>
  <si>
    <t xml:space="preserve">Arts (Arts Award)</t>
  </si>
  <si>
    <t xml:space="preserve">Identity in art &amp; developing skills (Trinity Arts Award Explore, supported) · AQA UAS 'Creating artwork' · toward Explore completion → Bronze (Launch) · SoW Creative Arts</t>
  </si>
  <si>
    <t xml:space="preserve">I can plan my identity artwork and choose my materials.</t>
  </si>
  <si>
    <t xml:space="preserve">Arrival: 'this is me' — pick 3 image/word/texture cards that feel like you → model a simple plan (idea + materials + one technique) → we do: plan a class demo piece together → you do: complete a picture-supported plan page (what I'll make / materials / textures, patterns and colours that mean something to me) → exit: tell the TA one thing your piece will say about you.  EVIDENCE: plan page in the Explore log.  GROW STRETCH: 'Going for Grow' card — name the W2 skill your plan uses.</t>
  </si>
  <si>
    <t xml:space="preserve">plan, idea, materials, choose, represent, identity, design</t>
  </si>
  <si>
    <t xml:space="preserve">Image/word/texture cards; picture-supported plan pages; Explore log; material sample tray;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</si>
  <si>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Plans are stuck, not written — cards onto the page; texture/pattern choices are equal to colour choices (Pupil B).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</si>
  <si>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scribes the 'my piece will say…' line beside each plan.  LOOP [Feedback Policy]: Voice = choose/stick/say [VF] → Audience: name the plan back; [R] once received → EVIDENCE: plan page photo, same day [E: Arts Award].</t>
  </si>
  <si>
    <t xml:space="preserve">Influence: the plan is the W4 contract — flag any pupil whose plan needs a materials pre-order [NS].</t>
  </si>
  <si>
    <t xml:space="preserve">PE</t>
  </si>
  <si>
    <t xml:space="preserve">ASDAN PEQ (WellbLeE3)</t>
  </si>
  <si>
    <t xml:space="preserve">ASDAN PEQ · WellbLeE3 · Aut·W3 — E3.1 unit launch</t>
  </si>
  <si>
    <t xml:space="preserve">I can say what wellbeing in learning means for me.</t>
  </si>
  <si>
    <t xml:space="preserve">Unit launches; portfolio opened today. Arrival: revisit the W1 baseline sort — has anything changed? I DO: model wellbeing as 'what I need to learn well' — not a mood word. WE DO: build the class list. YOU DO: choose 3 cards true for YOU; adult scribes; photo into the portfolio. E3.1 evidenced. ⚠️ REGISTRATION MUST BE COMPLETE — no evidence counts before it.</t>
  </si>
  <si>
    <t xml:space="preserve">wellbeing, learning, need, help, choose, portfolio, evidence</t>
  </si>
  <si>
    <t xml:space="preserve">PEQ spec v1.2; WellbLeE3 unit pages; picture-sort cards; Evidence Binder opened; camera; ⚠️ registration confirmation.</t>
  </si>
  <si>
    <t xml:space="preserve">Symbol bank for the class definition; pupil's own words are the evidence — scribe verbatim, never tidy the language; movement route through the sort for pupils who need it</t>
  </si>
  <si>
    <t xml:space="preserve">TA photographs the sort and scribes each statement; teacher leads the criterion talk; evidence filed to Evidence Binder same day tagged E3.1.1</t>
  </si>
  <si>
    <t xml:space="preserve">Slot 1 · Careers (ASDAN)</t>
  </si>
  <si>
    <t xml:space="preserve">Careers &amp; world of work — strengths to jobs (evidences ASDAN Living Independently M8; AQA UAS)</t>
  </si>
  <si>
    <t xml:space="preserve">I can match jobs to their tasks and tools.</t>
  </si>
  <si>
    <t xml:space="preserve">Job/task/tool triad matching → mystery-object round (what job uses this?) → “hardest job here” debate.</t>
  </si>
  <si>
    <t xml:space="preserve">strength, skill, job, worker, employer, routine, profile, evidence</t>
  </si>
  <si>
    <t xml:space="preserve">Strength cards; local jobs photo bank; profile posters; visitor link. W1 lesson: BUILD_L1_Careers_Strengths.html (evidence print incl. Yellow Box/WWW-EBI footer).</t>
  </si>
  <si>
    <t xml:space="preserve"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</si>
  <si>
    <t xml:space="preserve">TA runs paired talk with stems; scribes for reluctant writers (note “TA scribed”); champions Pupil A early and often.</t>
  </si>
  <si>
    <t xml:space="preserve">Slot 2 · Vocational / D&amp;T (ASDAN)</t>
  </si>
  <si>
    <t xml:space="preserve">D&amp;T via ASDAN tasters: kitchen skills → Textiles design-make-evaluate (Aut1); Construction from Aut2</t>
  </si>
  <si>
    <t xml:space="preserve">I can explore fabrics and practise a simple join or stitch.</t>
  </si>
  <si>
    <t xml:space="preserve">Fabric feely exploration → practise a running stitch / join on scrap → sample card made and photographed.</t>
  </si>
  <si>
    <t xml:space="preserve">tool, safety, hygiene, recipe, fabric, join, design, evaluate</t>
  </si>
  <si>
    <t xml:space="preserve">Kitchen + tools, PPE, recipe cards; fabrics &amp; fastenings. W1 lesson: BUILD_L1_Vocational_Kitchen_Induction.html.</t>
  </si>
  <si>
    <t xml:space="preserve">TA runs safe-carry / wash-up stations; signs skill cards only when genuinely met; models every technique first.</t>
  </si>
  <si>
    <t xml:space="preserve">Slot 3 · PfA — ASDAN Living Independently</t>
  </si>
  <si>
    <t xml:space="preserve">ASDAN LI — M1 Earning &amp; Spending Money (Aut1) → M2 Keeping Track of Your Money (Aut2); Section A: 4 challenges over ~10 hrs = 1 credit per module</t>
  </si>
  <si>
    <t xml:space="preserve">Ways to pay: I can name cash, card, contactless and online — and use each safely.</t>
  </si>
  <si>
    <t xml:space="preserve">Payment-method stations (practice money, demo card) → safe-use rules sort → role-play a purchase.</t>
  </si>
  <si>
    <t xml:space="preserve">income, spending, wages, benefits, payslip, price, budget, bank</t>
  </si>
  <si>
    <t xml:space="preserve">Practice money + tins, payslip, price tags, money-map paper, spending diary; LI student book / e-portfolio. W1 lesson: BUILD_L1_LI_Where_Money_Comes_From.html.</t>
  </si>
  <si>
    <t xml:space="preserve">TA runs wage-packet counting 1:1; money talk stays judgement-free; NO personal family finances recorded.</t>
  </si>
  <si>
    <t xml:space="preserve">Slot 4 · PfA — ASDAN FoodWise</t>
  </si>
  <si>
    <t xml:space="preserve">ASDAN FoodWise — M1 Healthy Eating (Aut1) → M2 Basic Food Safety (Aut2); Section A: 4 challenges over ~10 hrs = 1 credit per module</t>
  </si>
  <si>
    <t xml:space="preserve">Traffic-light labels: I can read packaging for sugar, fat and salt and compare two products.</t>
  </si>
  <si>
    <t xml:space="preserve">Label detective with real packaging → red/amber/green reading (word+symbol, never colour alone) → compare two products.</t>
  </si>
  <si>
    <t xml:space="preserve">food group, carbohydrate, protein, dairy, balance, label, hygiene, safety</t>
  </si>
  <si>
    <t xml:space="preserve">Eatwell mat + real foods, packaging for traffic-light labels, kitchen, display kit; FoodWise student book. SMSC anchor: World Food Day 16 Oct. W1 lesson: FW_L1_Food_Groups.html.</t>
  </si>
  <si>
    <t xml:space="preserve">TA runs food-handling hygiene checks; allergy list confirmed with the office before EVERY food session; photo evidence per pupil per practical.</t>
  </si>
  <si>
    <t xml:space="preserve">Slot 5 · Community A — Community Project &amp; Vocational</t>
  </si>
  <si>
    <t xml:space="preserve">Community Project &amp; Vocational — sustained local contribution; ASDAN/UAS community evidence. Trips/Visits policy applies to ALL off-site work (approval 4 weeks ahead, min. two staff).</t>
  </si>
  <si>
    <t xml:space="preserve">I can decide roles and responsibilities in the team.</t>
  </si>
  <si>
    <t xml:space="preserve">Role cards matched to strengths (links Careers W1) → responsibilities agreed → role badge made.</t>
  </si>
  <si>
    <t xml:space="preserve">community, project, partner, role, responsibility, contribute, evidence</t>
  </si>
  <si>
    <t xml:space="preserve">Local partner venue; PPE as required; project log; camera. ICT embedded: digital project log.</t>
  </si>
  <si>
    <t xml:space="preserve">TA supports allocated roles and captures the weekly log; off-site checklist confirmed before leaving site every time.</t>
  </si>
  <si>
    <t xml:space="preserve">Slot 6 · Community B — Junior/Young Duke + Social Enterprise</t>
  </si>
  <si>
    <t xml:space="preserve">Junior/Young Duke (Capable Kids) challenge levels + community &amp; social enterprise action · AQA UAS “Personal challenge”.</t>
  </si>
  <si>
    <t xml:space="preserve">I can complete a simple cookery challenge (skills practice — no FoodWise claim).</t>
  </si>
  <si>
    <t xml:space="preserve">Simple cookery challenge from the booklet — deliberately separate from FoodWise M1 so no double-claiming.</t>
  </si>
  <si>
    <t xml:space="preserve">challenge, pledge, evidence, resilience, kindness, independence</t>
  </si>
  <si>
    <t xml:space="preserve">Junior/Young Duke booklets (first aid, cookery, eco, independence challenges); challenge log; camera/tablet. SMSC anchors: Anti-Bullying Week 16–20 Nov, World Kindness Day 13 Nov.</t>
  </si>
  <si>
    <t xml:space="preserve">TA witnesses and photographs each challenge attempt; tutor signs off only genuinely met challenges; pledge wall kept current.</t>
  </si>
  <si>
    <t xml:space="preserve">Enrichment &amp; wider opportunities this week   (trips, visitors, themed days, SMSC calendar link, PfA / community)</t>
  </si>
  <si>
    <t xml:space="preserve">Whole-school BV/KCSIE assembly series continues.  Festivals-of-Light display launches (RE).  PfA / community: local walk or community-access visit.  AHEAD: International Day of Peace Mon 21 Sep.</t>
  </si>
  <si>
    <t xml:space="preserve">Resources &amp; support to prepare before the week   (printing, kit, bookings, briefing the team)</t>
  </si>
  <si>
    <t xml:space="preserve">Print/prepare: word-detective extracts + magnifiers, menu &amp; job cards + base-ten, small-to-big cards + organ cards (resus dummy booked), ballot box/booth + slips, Diwali kit (LED diyas, sand/rice + NAMED pattern guides, clay, mehndi sheets), reason cards + arrow strips + Teesside then/now photos, plan pages + texture cards.  Brief TAs: darkened room for RE arrival — warn Pupil B of the change in advance.</t>
  </si>
  <si>
    <t xml:space="preserve">F = formative  ·  S = summative  ·  PfA = Preparing for Adulthood  </t>
  </si>
  <si>
    <t xml:space="preserve">Student Adaptations</t>
  </si>
  <si>
    <t xml:space="preserve">Name</t>
  </si>
  <si>
    <t xml:space="preserve">Year / KS</t>
  </si>
  <si>
    <t xml:space="preserve">Reading age band</t>
  </si>
  <si>
    <t xml:space="preserve">Communication / sensory needs</t>
  </si>
  <si>
    <t xml:space="preserve">Key scaffolds &amp; adaptations</t>
  </si>
  <si>
    <t xml:space="preserve">EHCP primary outcomes</t>
  </si>
  <si>
    <t xml:space="preserve">PfA focus</t>
  </si>
  <si>
    <t xml:space="preserve">Notes</t>
  </si>
  <si>
    <t xml:space="preserve">Pupil A</t>
  </si>
  <si>
    <t xml:space="preserve">KS4</t>
  </si>
  <si>
    <t xml:space="preserve">Pupil B</t>
  </si>
  <si>
    <t xml:space="preserve">Pupil C</t>
  </si>
  <si>
    <t xml:space="preserve">Pupil D</t>
  </si>
  <si>
    <t xml:space="preserve">Outcome Tracker </t>
  </si>
  <si>
    <t xml:space="preserve">Did everyone make progress and meet the outcome? </t>
  </si>
  <si>
    <t xml:space="preserve">GREEN</t>
  </si>
  <si>
    <t xml:space="preserve">All demonstrated progress &amp; achieved the outcome</t>
  </si>
  <si>
    <t xml:space="preserve">AMBER</t>
  </si>
  <si>
    <t xml:space="preserve">Partly met, revisit in class</t>
  </si>
  <si>
    <t xml:space="preserve">RED</t>
  </si>
  <si>
    <t xml:space="preserve">Not met, pick up through intervention</t>
  </si>
  <si>
    <t xml:space="preserve">Week (w/c)</t>
  </si>
  <si>
    <t xml:space="preserve">Outcome reviewed</t>
  </si>
  <si>
    <t xml:space="preserve">Marking / evidence</t>
  </si>
  <si>
    <t xml:space="preserve">RAG</t>
  </si>
  <si>
    <t xml:space="preserve">Students not yet secure</t>
  </si>
  <si>
    <t xml:space="preserve">Picked up via</t>
  </si>
  <si>
    <t xml:space="preserve">Action &amp; timescale</t>
  </si>
  <si>
    <t xml:space="preserve">Students sorted skills and qualities and linked at least two to workplace examples.</t>
  </si>
  <si>
    <t xml:space="preserve">I can put cells, tissues and organs in order and point to two organs on the body.</t>
  </si>
  <si>
    <t xml:space="preserve">PEQ portfolio: photos + scribed voice + witness statements</t>
  </si>
  <si>
    <t xml:space="preserve">PfA — ASDAN LI</t>
  </si>
  <si>
    <t xml:space="preserve">LI portfolio: challenge evidence + skills grid</t>
  </si>
  <si>
    <t xml:space="preserve">PfA — ASDAN FoodWise</t>
  </si>
  <si>
    <t xml:space="preserve">FoodWise portfolio: challenge evidence + photos</t>
  </si>
  <si>
    <t xml:space="preserve">This sheet:</t>
  </si>
  <si>
    <t xml:space="preserve">Green</t>
  </si>
  <si>
    <t xml:space="preserve">Amber</t>
  </si>
  <si>
    <t xml:space="preserve">Red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</si>
</sst>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-mmm\-yy"/>
    <numFmt numFmtId="166" formatCode="yyyy\-mm\-dd\ h:mm:ss"/>
    <numFmt numFmtId="167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566159"/>
      <name val="Arial"/>
      <family val="0"/>
      <charset val="1"/>
    </font>
    <font>
      <b val="true"/>
      <sz val="9"/>
      <color rgb="FF566159"/>
      <name val="Arial"/>
      <family val="0"/>
      <charset val="1"/>
    </font>
    <font>
      <b val="true"/>
      <sz val="10"/>
      <color rgb="FF1B2420"/>
      <name val="Arial"/>
      <family val="0"/>
      <charset val="1"/>
    </font>
    <font>
      <b val="true"/>
      <sz val="10"/>
      <color rgb="FF2E7D4F"/>
      <name val="Arial"/>
      <family val="0"/>
      <charset val="1"/>
    </font>
    <font>
      <sz val="9"/>
      <color rgb="FF2E2A5D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B2420"/>
      <name val="Arial"/>
      <family val="0"/>
      <charset val="1"/>
    </font>
    <font>
      <sz val="9"/>
      <color rgb="FF000000"/>
      <name val="Arial"/>
      <family val="2"/>
      <charset val="1"/>
    </font>
    <font>
      <sz val="9"/>
      <color rgb="FF1B2420"/>
      <name val="Arial"/>
      <family val="0"/>
      <charset val="1"/>
    </font>
    <font>
      <sz val="9"/>
      <color rgb="FF1B2420"/>
      <name val="Arial"/>
      <family val="2"/>
      <charset val="1"/>
    </font>
    <font>
      <sz val="9"/>
      <color rgb="FF222222"/>
      <name val="Aptos"/>
      <family val="2"/>
      <charset val="1"/>
    </font>
    <font>
      <i val="true"/>
      <sz val="8"/>
      <color rgb="FF566159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6"/>
      <color rgb="FFFFFFFF"/>
      <name val="Arial"/>
      <family val="2"/>
      <charset val="1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10"/>
      <color rgb="FFFFFFFF"/>
      <name val="Arial"/>
      <family val="0"/>
      <charset val="1"/>
    </font>
    <font>
      <sz val="8"/>
      <color rgb="FF56615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D6006E"/>
        <bgColor rgb="FF800080"/>
      </patternFill>
    </fill>
    <fill>
      <patternFill patternType="solid">
        <fgColor rgb="FFFBE3F0"/>
        <bgColor rgb="FFEFE9F2"/>
      </patternFill>
    </fill>
    <fill>
      <patternFill patternType="solid">
        <fgColor rgb="FFEFE9F2"/>
        <bgColor rgb="FFFBE3F0"/>
      </patternFill>
    </fill>
    <fill>
      <patternFill patternType="solid">
        <fgColor rgb="FFFFFFFF"/>
        <bgColor rgb="FFF4F7F3"/>
      </patternFill>
    </fill>
    <fill>
      <patternFill patternType="solid">
        <fgColor rgb="FFF4F7F3"/>
        <bgColor rgb="FFFFFFFF"/>
      </patternFill>
    </fill>
    <fill>
      <patternFill patternType="solid">
        <fgColor rgb="FF2E7D4F"/>
        <bgColor rgb="FF1F6F7A"/>
      </patternFill>
    </fill>
    <fill>
      <patternFill patternType="solid">
        <fgColor rgb="FFD9A227"/>
        <bgColor rgb="FFB8742A"/>
      </patternFill>
    </fill>
    <fill>
      <patternFill patternType="solid">
        <fgColor rgb="FFC0392B"/>
        <bgColor rgb="FF993366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DC1"/>
      </bottom>
      <diagonal/>
    </border>
    <border diagonalUp="false" diagonalDown="false"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  <border diagonalUp="false" diagonalDown="false">
      <left style="thin">
        <color rgb="FFC3CDC1"/>
      </left>
      <right style="thin">
        <color rgb="FFC3CDC1"/>
      </right>
      <top style="thin">
        <color rgb="FFC3CDC1"/>
      </top>
      <bottom style="thin">
        <color rgb="FFC3CDC1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5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5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6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2E7D4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B8742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F6F7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D9A22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392B"/>
        </patternFill>
      </fill>
    </dxf>
  </dxfs>
  <colors>
    <indexedColors>
      <rgbColor rgb="FF000000"/>
      <rgbColor rgb="FFFFFFFF"/>
      <rgbColor rgb="FFD6006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42A"/>
      <rgbColor rgb="FF800080"/>
      <rgbColor rgb="FF1F6F7A"/>
      <rgbColor rgb="FFC3CDC1"/>
      <rgbColor rgb="FF808080"/>
      <rgbColor rgb="FF9999FF"/>
      <rgbColor rgb="FF993366"/>
      <rgbColor rgb="FFF4F7F3"/>
      <rgbColor rgb="FFEFE9F2"/>
      <rgbColor rgb="FF660066"/>
      <rgbColor rgb="FFFF8080"/>
      <rgbColor rgb="FF0066CC"/>
      <rgbColor rgb="FFC9C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F0"/>
      <rgbColor rgb="FF3366FF"/>
      <rgbColor rgb="FF33CCCC"/>
      <rgbColor rgb="FF99CC00"/>
      <rgbColor rgb="FFFFCC00"/>
      <rgbColor rgb="FFD9A227"/>
      <rgbColor rgb="FFFF6600"/>
      <rgbColor rgb="FF566159"/>
      <rgbColor rgb="FF969696"/>
      <rgbColor rgb="FF003366"/>
      <rgbColor rgb="FF2E7D4F"/>
      <rgbColor rgb="FF1B2420"/>
      <rgbColor rgb="FF222222"/>
      <rgbColor rgb="FFC0392B"/>
      <rgbColor rgb="FF993366"/>
      <rgbColor rgb="FF333399"/>
      <rgbColor rgb="FF2E2A5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J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1" activePane="bottomLeft" state="frozen"/>
      <selection pane="topLeft" activeCell="A1" activeCellId="0" sqref="A1"/>
      <selection pane="bottomLeft" activeCell="B11" activeCellId="0" sqref="B1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26"/>
    <col collapsed="false" customWidth="true" hidden="false" outlineLevel="0" max="5" min="5" style="1" width="16"/>
    <col collapsed="false" customWidth="true" hidden="false" outlineLevel="0" max="6" min="6" style="1" width="20"/>
    <col collapsed="false" customWidth="true" hidden="false" outlineLevel="0" max="7" min="7" style="1" width="10"/>
    <col collapsed="false" customWidth="true" hidden="false" outlineLevel="0" max="8" min="8" style="1" width="26"/>
    <col collapsed="false" customWidth="true" hidden="false" outlineLevel="0" max="10" min="9" style="1" width="2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4.2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9.5" hidden="false" customHeight="true" outlineLevel="0" collapsed="false">
      <c r="A4" s="4" t="s">
        <v>2</v>
      </c>
      <c r="B4" s="5" t="s">
        <v>3</v>
      </c>
      <c r="D4" s="1" t="n">
        <v>3</v>
      </c>
      <c r="F4" s="4" t="s">
        <v>4</v>
      </c>
      <c r="G4" s="5" t="n">
        <v>3</v>
      </c>
    </row>
    <row r="5" customFormat="false" ht="19.5" hidden="false" customHeight="true" outlineLevel="0" collapsed="false">
      <c r="A5" s="4" t="s">
        <v>5</v>
      </c>
      <c r="B5" s="5" t="s">
        <v>6</v>
      </c>
      <c r="F5" s="4" t="s">
        <v>7</v>
      </c>
      <c r="G5" s="5"/>
    </row>
    <row r="6" customFormat="false" ht="19.5" hidden="false" customHeight="true" outlineLevel="0" collapsed="false">
      <c r="A6" s="4" t="s">
        <v>8</v>
      </c>
      <c r="B6" s="6" t="str">
        <f aca="false">IF(B5="Autumn","Identity &amp; Belonging",IF(B5="Spring","Resilience &amp; Change",IF(B5="Summer","Our World, My Future","pick a term")))</f>
        <v>Identity &amp; Belonging</v>
      </c>
      <c r="C6" s="6"/>
      <c r="D6" s="6"/>
      <c r="F6" s="4" t="s">
        <v>9</v>
      </c>
      <c r="G6" s="5"/>
    </row>
    <row r="7" customFormat="false" ht="19.5" hidden="false" customHeight="true" outlineLevel="0" collapsed="false">
      <c r="A7" s="4" t="s">
        <v>10</v>
      </c>
      <c r="B7" s="7" t="n">
        <v>46279</v>
      </c>
      <c r="F7" s="4" t="s">
        <v>11</v>
      </c>
      <c r="G7" s="5"/>
    </row>
    <row r="8" customFormat="false" ht="33.75" hidden="false" customHeight="true" outlineLevel="0" collapsed="false">
      <c r="A8" s="8" t="s">
        <v>12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30" hidden="false" customHeight="true" outlineLevel="0" collapsed="false">
      <c r="A9" s="9" t="s">
        <v>13</v>
      </c>
      <c r="B9" s="9" t="s">
        <v>14</v>
      </c>
      <c r="C9" s="9" t="s">
        <v>15</v>
      </c>
      <c r="D9" s="9" t="s">
        <v>16</v>
      </c>
      <c r="E9" s="9" t="s">
        <v>17</v>
      </c>
      <c r="F9" s="9" t="s">
        <v>18</v>
      </c>
      <c r="G9" s="9" t="s">
        <v>19</v>
      </c>
      <c r="H9" s="9" t="s">
        <v>20</v>
      </c>
      <c r="I9" s="9" t="s">
        <v>21</v>
      </c>
      <c r="J9" s="9" t="s">
        <v>22</v>
      </c>
    </row>
    <row r="10" customFormat="false" ht="45.75" hidden="false" customHeight="true" outlineLevel="0" collapsed="false">
      <c r="A10" s="10" t="s">
        <v>23</v>
      </c>
      <c r="B10" s="11" t="s">
        <v>24</v>
      </c>
      <c r="C10" s="11" t="s">
        <v>25</v>
      </c>
      <c r="D10" s="11" t="s">
        <v>26</v>
      </c>
      <c r="E10" s="11" t="s">
        <v>27</v>
      </c>
      <c r="F10" s="11" t="s">
        <v>28</v>
      </c>
      <c r="G10" s="12" t="s">
        <v>29</v>
      </c>
      <c r="H10" s="11" t="s">
        <v>30</v>
      </c>
      <c r="I10" s="11" t="s">
        <v>31</v>
      </c>
      <c r="J10" s="11" t="s">
        <v>32</v>
      </c>
    </row>
    <row r="11" customFormat="false" ht="330" hidden="false" customHeight="true" outlineLevel="0" collapsed="false">
      <c r="A11" s="13" t="s">
        <v>33</v>
      </c>
      <c r="B11" s="14" t="s">
        <v>34</v>
      </c>
      <c r="C11" s="15" t="s">
        <v>35</v>
      </c>
      <c r="D11" s="14" t="s">
        <v>36</v>
      </c>
      <c r="E11" s="14" t="s">
        <v>37</v>
      </c>
      <c r="F11" s="14" t="s">
        <v>38</v>
      </c>
      <c r="G11" s="15" t="s">
        <v>29</v>
      </c>
      <c r="H11" s="14" t="s">
        <v>39</v>
      </c>
      <c r="I11" s="14" t="s">
        <v>40</v>
      </c>
      <c r="J11" s="15" t="s">
        <v>41</v>
      </c>
    </row>
    <row r="12" customFormat="false" ht="339.75" hidden="false" customHeight="true" outlineLevel="0" collapsed="false">
      <c r="A12" s="10" t="s">
        <v>42</v>
      </c>
      <c r="B12" s="12" t="s">
        <v>43</v>
      </c>
      <c r="C12" s="16" t="s">
        <v>44</v>
      </c>
      <c r="D12" s="12" t="s">
        <v>45</v>
      </c>
      <c r="E12" s="12" t="s">
        <v>46</v>
      </c>
      <c r="F12" s="12" t="s">
        <v>47</v>
      </c>
      <c r="G12" s="12" t="s">
        <v>29</v>
      </c>
      <c r="H12" s="12" t="s">
        <v>48</v>
      </c>
      <c r="I12" s="12" t="s">
        <v>49</v>
      </c>
      <c r="J12" s="12" t="s">
        <v>50</v>
      </c>
    </row>
    <row r="13" customFormat="false" ht="330" hidden="false" customHeight="true" outlineLevel="0" collapsed="false">
      <c r="A13" s="13" t="s">
        <v>51</v>
      </c>
      <c r="B13" s="15" t="s">
        <v>52</v>
      </c>
      <c r="C13" s="15" t="s">
        <v>53</v>
      </c>
      <c r="D13" s="15" t="s">
        <v>54</v>
      </c>
      <c r="E13" s="15" t="s">
        <v>55</v>
      </c>
      <c r="F13" s="15" t="s">
        <v>56</v>
      </c>
      <c r="G13" s="15" t="s">
        <v>29</v>
      </c>
      <c r="H13" s="15" t="s">
        <v>57</v>
      </c>
      <c r="I13" s="15" t="s">
        <v>58</v>
      </c>
      <c r="J13" s="15" t="s">
        <v>59</v>
      </c>
    </row>
    <row r="14" customFormat="false" ht="330" hidden="false" customHeight="true" outlineLevel="0" collapsed="false">
      <c r="A14" s="10" t="s">
        <v>60</v>
      </c>
      <c r="B14" s="12" t="s">
        <v>61</v>
      </c>
      <c r="C14" s="16" t="s">
        <v>62</v>
      </c>
      <c r="D14" s="12" t="s">
        <v>63</v>
      </c>
      <c r="E14" s="12" t="s">
        <v>64</v>
      </c>
      <c r="F14" s="12" t="s">
        <v>65</v>
      </c>
      <c r="G14" s="12" t="s">
        <v>29</v>
      </c>
      <c r="H14" s="12" t="s">
        <v>66</v>
      </c>
      <c r="I14" s="12" t="s">
        <v>67</v>
      </c>
      <c r="J14" s="12" t="s">
        <v>68</v>
      </c>
    </row>
    <row r="15" customFormat="false" ht="330" hidden="false" customHeight="true" outlineLevel="0" collapsed="false">
      <c r="A15" s="13" t="s">
        <v>69</v>
      </c>
      <c r="B15" s="15" t="s">
        <v>70</v>
      </c>
      <c r="C15" s="16" t="s">
        <v>71</v>
      </c>
      <c r="D15" s="12" t="s">
        <v>72</v>
      </c>
      <c r="E15" s="12" t="s">
        <v>73</v>
      </c>
      <c r="F15" s="12" t="s">
        <v>74</v>
      </c>
      <c r="G15" s="12" t="s">
        <v>29</v>
      </c>
      <c r="H15" s="12" t="s">
        <v>75</v>
      </c>
      <c r="I15" s="12" t="s">
        <v>76</v>
      </c>
      <c r="J15" s="12" t="s">
        <v>77</v>
      </c>
    </row>
    <row r="16" customFormat="false" ht="330" hidden="false" customHeight="true" outlineLevel="0" collapsed="false">
      <c r="A16" s="10" t="s">
        <v>78</v>
      </c>
      <c r="B16" s="12" t="s">
        <v>79</v>
      </c>
      <c r="C16" s="16" t="s">
        <v>80</v>
      </c>
      <c r="D16" s="12" t="s">
        <v>81</v>
      </c>
      <c r="E16" s="12" t="s">
        <v>82</v>
      </c>
      <c r="F16" s="12" t="s">
        <v>83</v>
      </c>
      <c r="G16" s="12" t="s">
        <v>29</v>
      </c>
      <c r="H16" s="12" t="s">
        <v>84</v>
      </c>
      <c r="I16" s="12" t="s">
        <v>85</v>
      </c>
      <c r="J16" s="12" t="s">
        <v>86</v>
      </c>
    </row>
    <row r="17" customFormat="false" ht="45.75" hidden="false" customHeight="true" outlineLevel="0" collapsed="false">
      <c r="A17" s="13" t="s">
        <v>87</v>
      </c>
      <c r="B17" s="15"/>
      <c r="C17" s="15"/>
      <c r="D17" s="15"/>
      <c r="E17" s="15"/>
      <c r="F17" s="15"/>
      <c r="G17" s="15"/>
      <c r="H17" s="15"/>
      <c r="I17" s="15"/>
      <c r="J17" s="15"/>
    </row>
    <row r="18" customFormat="false" ht="45.75" hidden="false" customHeight="true" outlineLevel="0" collapsed="false">
      <c r="A18" s="10" t="s">
        <v>88</v>
      </c>
      <c r="B18" s="12" t="s">
        <v>89</v>
      </c>
      <c r="C18" s="12" t="s">
        <v>90</v>
      </c>
      <c r="D18" s="12" t="s">
        <v>91</v>
      </c>
      <c r="E18" s="12" t="s">
        <v>92</v>
      </c>
      <c r="F18" s="12" t="s">
        <v>93</v>
      </c>
      <c r="G18" s="12" t="s">
        <v>29</v>
      </c>
      <c r="H18" s="12" t="s">
        <v>94</v>
      </c>
      <c r="I18" s="12" t="s">
        <v>95</v>
      </c>
      <c r="J18" s="12"/>
    </row>
    <row r="19" customFormat="false" ht="45.75" hidden="false" customHeight="true" outlineLevel="0" collapsed="false">
      <c r="A19" s="10" t="s">
        <v>96</v>
      </c>
      <c r="B19" s="12" t="s">
        <v>97</v>
      </c>
      <c r="C19" s="12" t="s">
        <v>98</v>
      </c>
      <c r="D19" s="12" t="s">
        <v>99</v>
      </c>
      <c r="E19" s="12" t="s">
        <v>100</v>
      </c>
      <c r="F19" s="12" t="s">
        <v>101</v>
      </c>
      <c r="G19" s="12" t="s">
        <v>29</v>
      </c>
      <c r="H19" s="12" t="s">
        <v>102</v>
      </c>
      <c r="I19" s="12" t="s">
        <v>103</v>
      </c>
      <c r="J19" s="12"/>
    </row>
    <row r="20" customFormat="false" ht="45.75" hidden="false" customHeight="true" outlineLevel="0" collapsed="false">
      <c r="A20" s="10" t="s">
        <v>104</v>
      </c>
      <c r="B20" s="12" t="s">
        <v>105</v>
      </c>
      <c r="C20" s="12" t="s">
        <v>106</v>
      </c>
      <c r="D20" s="12" t="s">
        <v>107</v>
      </c>
      <c r="E20" s="12" t="s">
        <v>108</v>
      </c>
      <c r="F20" s="12" t="s">
        <v>109</v>
      </c>
      <c r="G20" s="12" t="s">
        <v>29</v>
      </c>
      <c r="H20" s="12" t="s">
        <v>102</v>
      </c>
      <c r="I20" s="12" t="s">
        <v>110</v>
      </c>
      <c r="J20" s="12"/>
    </row>
    <row r="21" customFormat="false" ht="45.75" hidden="false" customHeight="true" outlineLevel="0" collapsed="false">
      <c r="A21" s="10" t="s">
        <v>111</v>
      </c>
      <c r="B21" s="12" t="s">
        <v>112</v>
      </c>
      <c r="C21" s="12" t="s">
        <v>113</v>
      </c>
      <c r="D21" s="12" t="s">
        <v>114</v>
      </c>
      <c r="E21" s="12" t="s">
        <v>115</v>
      </c>
      <c r="F21" s="12" t="s">
        <v>116</v>
      </c>
      <c r="G21" s="12" t="s">
        <v>29</v>
      </c>
      <c r="H21" s="12" t="s">
        <v>102</v>
      </c>
      <c r="I21" s="12" t="s">
        <v>117</v>
      </c>
      <c r="J21" s="12"/>
    </row>
    <row r="22" customFormat="false" ht="45.75" hidden="false" customHeight="true" outlineLevel="0" collapsed="false">
      <c r="A22" s="10" t="s">
        <v>118</v>
      </c>
      <c r="B22" s="12" t="s">
        <v>119</v>
      </c>
      <c r="C22" s="12" t="s">
        <v>120</v>
      </c>
      <c r="D22" s="12" t="s">
        <v>121</v>
      </c>
      <c r="E22" s="12" t="s">
        <v>122</v>
      </c>
      <c r="F22" s="12" t="s">
        <v>123</v>
      </c>
      <c r="G22" s="12" t="s">
        <v>29</v>
      </c>
      <c r="H22" s="12" t="s">
        <v>102</v>
      </c>
      <c r="I22" s="12" t="s">
        <v>124</v>
      </c>
      <c r="J22" s="12"/>
    </row>
    <row r="23" customFormat="false" ht="45.75" hidden="false" customHeight="true" outlineLevel="0" collapsed="false">
      <c r="A23" s="10" t="s">
        <v>125</v>
      </c>
      <c r="B23" s="12" t="s">
        <v>126</v>
      </c>
      <c r="C23" s="12" t="s">
        <v>127</v>
      </c>
      <c r="D23" s="12" t="s">
        <v>128</v>
      </c>
      <c r="E23" s="12" t="s">
        <v>129</v>
      </c>
      <c r="F23" s="12" t="s">
        <v>130</v>
      </c>
      <c r="G23" s="12" t="s">
        <v>29</v>
      </c>
      <c r="H23" s="12" t="s">
        <v>102</v>
      </c>
      <c r="I23" s="12" t="s">
        <v>131</v>
      </c>
      <c r="J23" s="12"/>
    </row>
    <row r="24" customFormat="false" ht="45.75" hidden="false" customHeight="true" outlineLevel="0" collapsed="false">
      <c r="A24" s="10" t="s">
        <v>132</v>
      </c>
      <c r="B24" s="12" t="s">
        <v>133</v>
      </c>
      <c r="C24" s="12" t="s">
        <v>134</v>
      </c>
      <c r="D24" s="12" t="s">
        <v>135</v>
      </c>
      <c r="E24" s="12" t="s">
        <v>136</v>
      </c>
      <c r="F24" s="12" t="s">
        <v>137</v>
      </c>
      <c r="G24" s="12" t="s">
        <v>29</v>
      </c>
      <c r="H24" s="12" t="s">
        <v>102</v>
      </c>
      <c r="I24" s="12" t="s">
        <v>138</v>
      </c>
      <c r="J24" s="12"/>
    </row>
    <row r="26" customFormat="false" ht="18" hidden="false" customHeight="true" outlineLevel="0" collapsed="false">
      <c r="A26" s="17" t="s">
        <v>139</v>
      </c>
      <c r="B26" s="17"/>
      <c r="C26" s="17"/>
      <c r="D26" s="17"/>
      <c r="E26" s="17"/>
      <c r="F26" s="17"/>
      <c r="G26" s="17"/>
      <c r="H26" s="17"/>
      <c r="I26" s="17"/>
      <c r="J26" s="17"/>
    </row>
    <row r="27" customFormat="false" ht="39.75" hidden="false" customHeight="true" outlineLevel="0" collapsed="false">
      <c r="A27" s="18" t="s">
        <v>140</v>
      </c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8" hidden="false" customHeight="true" outlineLevel="0" collapsed="false">
      <c r="A28" s="17" t="s">
        <v>141</v>
      </c>
      <c r="B28" s="17"/>
      <c r="C28" s="17"/>
      <c r="D28" s="17"/>
      <c r="E28" s="17"/>
      <c r="F28" s="17"/>
      <c r="G28" s="17"/>
      <c r="H28" s="17"/>
      <c r="I28" s="17"/>
      <c r="J28" s="17"/>
    </row>
    <row r="29" customFormat="false" ht="39.75" hidden="false" customHeight="true" outlineLevel="0" collapsed="false">
      <c r="A29" s="19" t="s">
        <v>142</v>
      </c>
      <c r="B29" s="19"/>
      <c r="C29" s="19"/>
      <c r="D29" s="19"/>
      <c r="E29" s="19"/>
      <c r="F29" s="19"/>
      <c r="G29" s="19"/>
      <c r="H29" s="19"/>
      <c r="I29" s="19"/>
      <c r="J29" s="19"/>
    </row>
    <row r="30" customFormat="false" ht="18" hidden="false" customHeight="true" outlineLevel="0" collapsed="false">
      <c r="A30" s="20" t="s">
        <v>143</v>
      </c>
      <c r="B30" s="20"/>
      <c r="C30" s="20"/>
      <c r="D30" s="20"/>
      <c r="E30" s="20"/>
      <c r="F30" s="20"/>
      <c r="G30" s="20"/>
      <c r="H30" s="20"/>
      <c r="I30" s="20"/>
      <c r="J30" s="20"/>
    </row>
  </sheetData>
  <mergeCells count="9">
    <mergeCell ref="A1:J1"/>
    <mergeCell ref="A2:J2"/>
    <mergeCell ref="B6:D6"/>
    <mergeCell ref="A8:J8"/>
    <mergeCell ref="A26:J26"/>
    <mergeCell ref="A27:J27"/>
    <mergeCell ref="A28:J28"/>
    <mergeCell ref="A29:J29"/>
    <mergeCell ref="A30:J30"/>
  </mergeCells>
  <dataValidations count="4">
    <dataValidation allowBlank="true" error="Pick a value from the list." errorStyle="stop" errorTitle="Choose from the list" operator="between" showDropDown="false" showErrorMessage="false" showInputMessage="false" sqref="B4" type="list">
      <formula1>"BUILD,GROW,LAUNCH"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B5" type="list">
      <formula1>"Autumn,Spring,Summer"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A10:A18" type="list">
      <formula1>"English,Maths,Science,PSHE / RSE,RE,Humanities,Arts (Arts Award),PE,Careers / Vocational (ASDAN),Computing / Digital,Personal Development / PfA"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G10:G18" type="list">
      <formula1>"F,S,F + 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0" activeCellId="0" sqref="D10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26"/>
    <col collapsed="false" customWidth="true" hidden="false" outlineLevel="0" max="7" min="6" style="1" width="36"/>
    <col collapsed="false" customWidth="true" hidden="false" outlineLevel="0" max="8" min="8" style="1" width="22"/>
    <col collapsed="false" customWidth="true" hidden="false" outlineLevel="0" max="9" min="9" style="1" width="26"/>
  </cols>
  <sheetData>
    <row r="1" customFormat="false" ht="25.5" hidden="false" customHeight="true" outlineLevel="0" collapsed="false">
      <c r="A1" s="21" t="s">
        <v>144</v>
      </c>
      <c r="B1" s="21"/>
      <c r="C1" s="21"/>
      <c r="D1" s="21"/>
      <c r="E1" s="21"/>
      <c r="F1" s="21"/>
      <c r="G1" s="21"/>
      <c r="H1" s="21"/>
      <c r="I1" s="21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4" customFormat="false" ht="27.75" hidden="false" customHeight="true" outlineLevel="0" collapsed="false">
      <c r="A4" s="9" t="s">
        <v>145</v>
      </c>
      <c r="B4" s="9" t="s">
        <v>2</v>
      </c>
      <c r="C4" s="9" t="s">
        <v>146</v>
      </c>
      <c r="D4" s="9" t="s">
        <v>147</v>
      </c>
      <c r="E4" s="9" t="s">
        <v>148</v>
      </c>
      <c r="F4" s="9" t="s">
        <v>149</v>
      </c>
      <c r="G4" s="9" t="s">
        <v>150</v>
      </c>
      <c r="H4" s="9" t="s">
        <v>151</v>
      </c>
      <c r="I4" s="9" t="s">
        <v>152</v>
      </c>
    </row>
    <row r="5" customFormat="false" ht="174.75" hidden="false" customHeight="true" outlineLevel="0" collapsed="false">
      <c r="A5" s="10" t="s">
        <v>153</v>
      </c>
      <c r="B5" s="12" t="s">
        <v>3</v>
      </c>
      <c r="C5" s="12" t="s">
        <v>154</v>
      </c>
      <c r="D5" s="22"/>
      <c r="E5" s="22"/>
      <c r="F5" s="22"/>
      <c r="G5" s="22"/>
      <c r="H5" s="22"/>
      <c r="I5" s="22"/>
    </row>
    <row r="6" customFormat="false" ht="174.75" hidden="false" customHeight="true" outlineLevel="0" collapsed="false">
      <c r="A6" s="10" t="s">
        <v>155</v>
      </c>
      <c r="B6" s="12" t="s">
        <v>3</v>
      </c>
      <c r="C6" s="12" t="s">
        <v>154</v>
      </c>
      <c r="D6" s="22"/>
      <c r="E6" s="22"/>
      <c r="F6" s="22"/>
      <c r="G6" s="22"/>
      <c r="H6" s="22"/>
      <c r="I6" s="22"/>
    </row>
    <row r="7" customFormat="false" ht="174.75" hidden="false" customHeight="true" outlineLevel="0" collapsed="false">
      <c r="A7" s="10" t="s">
        <v>156</v>
      </c>
      <c r="B7" s="12" t="s">
        <v>3</v>
      </c>
      <c r="C7" s="12" t="s">
        <v>154</v>
      </c>
      <c r="D7" s="22"/>
      <c r="E7" s="22"/>
      <c r="F7" s="22"/>
      <c r="G7" s="22"/>
      <c r="H7" s="22"/>
      <c r="I7" s="22"/>
    </row>
    <row r="8" customFormat="false" ht="174.75" hidden="false" customHeight="true" outlineLevel="0" collapsed="false">
      <c r="A8" s="10" t="s">
        <v>157</v>
      </c>
      <c r="B8" s="12" t="s">
        <v>3</v>
      </c>
      <c r="C8" s="12" t="s">
        <v>154</v>
      </c>
      <c r="D8" s="22"/>
      <c r="E8" s="22"/>
      <c r="F8" s="22"/>
      <c r="G8" s="22"/>
      <c r="H8" s="22"/>
      <c r="I8" s="22"/>
    </row>
    <row r="9" customFormat="false" ht="30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</row>
    <row r="10" customFormat="false" ht="30" hidden="false" customHeight="true" outlineLevel="0" collapsed="false">
      <c r="A10" s="24"/>
      <c r="B10" s="24"/>
      <c r="C10" s="24"/>
      <c r="D10" s="24"/>
      <c r="E10" s="24"/>
      <c r="F10" s="24"/>
      <c r="G10" s="24"/>
      <c r="H10" s="24"/>
      <c r="I10" s="24"/>
    </row>
    <row r="11" customFormat="false" ht="30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</row>
    <row r="12" customFormat="false" ht="30" hidden="false" customHeight="true" outlineLevel="0" collapsed="false">
      <c r="A12" s="24"/>
      <c r="B12" s="24"/>
      <c r="C12" s="24"/>
      <c r="D12" s="24"/>
      <c r="E12" s="24"/>
      <c r="F12" s="24"/>
      <c r="G12" s="24"/>
      <c r="H12" s="24"/>
      <c r="I12" s="24"/>
    </row>
    <row r="13" customFormat="false" ht="30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</row>
    <row r="14" customFormat="false" ht="30" hidden="false" customHeight="true" outlineLevel="0" collapsed="false">
      <c r="A14" s="24"/>
      <c r="B14" s="24"/>
      <c r="C14" s="24"/>
      <c r="D14" s="24"/>
      <c r="E14" s="24"/>
      <c r="F14" s="24"/>
      <c r="G14" s="24"/>
      <c r="H14" s="24"/>
      <c r="I14" s="24"/>
    </row>
    <row r="15" customFormat="false" ht="30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</row>
    <row r="16" customFormat="false" ht="30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</row>
    <row r="17" customFormat="false" ht="30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</row>
    <row r="18" customFormat="false" ht="30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</row>
    <row r="19" customFormat="false" ht="30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</row>
  </sheetData>
  <mergeCells count="2">
    <mergeCell ref="A1:I1"/>
    <mergeCell ref="A2:I2"/>
  </mergeCells>
  <conditionalFormatting sqref="B5:B19">
    <cfRule type="cellIs" priority="2" operator="equal" aboveAverage="0" equalAverage="0" bottom="0" percent="0" rank="0" text="" dxfId="0">
      <formula>"BUILD"</formula>
    </cfRule>
    <cfRule type="cellIs" priority="3" operator="equal" aboveAverage="0" equalAverage="0" bottom="0" percent="0" rank="0" text="" dxfId="1">
      <formula>"GROW"</formula>
    </cfRule>
    <cfRule type="cellIs" priority="4" operator="equal" aboveAverage="0" equalAverage="0" bottom="0" percent="0" rank="0" text="" dxfId="2">
      <formula>"LAUNCH"</formula>
    </cfRule>
  </conditionalFormatting>
  <dataValidations count="1">
    <dataValidation allowBlank="true" error="Pick a value from the list." errorStyle="stop" errorTitle="Choose from the list" operator="between" showDropDown="false" showErrorMessage="false" showInputMessage="false" sqref="B5:B19" type="list">
      <formula1>"BUILD,GROW,LAUNCH"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D7" activeCellId="0" sqref="D7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16"/>
    <col collapsed="false" customWidth="true" hidden="false" outlineLevel="0" max="4" min="4" style="1" width="28"/>
    <col collapsed="false" customWidth="true" hidden="false" outlineLevel="0" max="5" min="5" style="1" width="24"/>
    <col collapsed="false" customWidth="true" hidden="false" outlineLevel="0" max="6" min="6" style="1" width="9"/>
    <col collapsed="false" customWidth="true" hidden="false" outlineLevel="0" max="7" min="7" style="1" width="24"/>
    <col collapsed="false" customWidth="true" hidden="false" outlineLevel="0" max="8" min="8" style="1" width="18"/>
    <col collapsed="false" customWidth="true" hidden="false" outlineLevel="0" max="9" min="9" style="1" width="26"/>
  </cols>
  <sheetData>
    <row r="1" customFormat="false" ht="25.5" hidden="false" customHeight="true" outlineLevel="0" collapsed="false">
      <c r="A1" s="25" t="s">
        <v>158</v>
      </c>
      <c r="B1" s="25"/>
      <c r="C1" s="25"/>
      <c r="D1" s="25"/>
      <c r="E1" s="25"/>
      <c r="F1" s="25"/>
      <c r="G1" s="25"/>
      <c r="H1" s="25"/>
      <c r="I1" s="25"/>
    </row>
    <row r="2" customFormat="false" ht="14.25" hidden="false" customHeight="true" outlineLevel="0" collapsed="false">
      <c r="A2" s="26" t="s">
        <v>159</v>
      </c>
      <c r="B2" s="26"/>
      <c r="C2" s="26"/>
      <c r="D2" s="26"/>
      <c r="E2" s="26"/>
      <c r="F2" s="26"/>
      <c r="G2" s="26"/>
      <c r="H2" s="26"/>
      <c r="I2" s="26"/>
    </row>
    <row r="3" customFormat="false" ht="18" hidden="false" customHeight="true" outlineLevel="0" collapsed="false">
      <c r="A3" s="27" t="s">
        <v>160</v>
      </c>
      <c r="B3" s="28" t="s">
        <v>161</v>
      </c>
      <c r="C3" s="28"/>
      <c r="D3" s="29" t="s">
        <v>162</v>
      </c>
      <c r="E3" s="28" t="s">
        <v>163</v>
      </c>
      <c r="F3" s="28"/>
      <c r="G3" s="30" t="s">
        <v>164</v>
      </c>
      <c r="H3" s="28" t="s">
        <v>165</v>
      </c>
      <c r="I3" s="28"/>
    </row>
    <row r="5" customFormat="false" ht="27.75" hidden="false" customHeight="true" outlineLevel="0" collapsed="false">
      <c r="A5" s="9" t="s">
        <v>166</v>
      </c>
      <c r="B5" s="9" t="s">
        <v>2</v>
      </c>
      <c r="C5" s="9" t="s">
        <v>13</v>
      </c>
      <c r="D5" s="9" t="s">
        <v>167</v>
      </c>
      <c r="E5" s="9" t="s">
        <v>168</v>
      </c>
      <c r="F5" s="9" t="s">
        <v>169</v>
      </c>
      <c r="G5" s="9" t="s">
        <v>170</v>
      </c>
      <c r="H5" s="9" t="s">
        <v>171</v>
      </c>
      <c r="I5" s="9" t="s">
        <v>172</v>
      </c>
    </row>
    <row r="6" customFormat="false" ht="30" hidden="false" customHeight="true" outlineLevel="0" collapsed="false">
      <c r="A6" s="31" t="n">
        <v>46279</v>
      </c>
      <c r="B6" s="32" t="s">
        <v>3</v>
      </c>
      <c r="C6" s="32" t="s">
        <v>23</v>
      </c>
      <c r="D6" s="11" t="s">
        <v>173</v>
      </c>
      <c r="E6" s="24"/>
      <c r="F6" s="24"/>
      <c r="G6" s="24"/>
      <c r="H6" s="24"/>
      <c r="I6" s="24"/>
    </row>
    <row r="7" customFormat="false" ht="30" hidden="false" customHeight="true" outlineLevel="0" collapsed="false">
      <c r="A7" s="31" t="n">
        <v>46279</v>
      </c>
      <c r="B7" s="12" t="s">
        <v>3</v>
      </c>
      <c r="C7" s="32" t="s">
        <v>33</v>
      </c>
      <c r="D7" s="15" t="s">
        <v>35</v>
      </c>
      <c r="E7" s="24"/>
      <c r="F7" s="24"/>
      <c r="G7" s="24"/>
      <c r="H7" s="24"/>
      <c r="I7" s="24"/>
    </row>
    <row r="8" customFormat="false" ht="30" hidden="false" customHeight="true" outlineLevel="0" collapsed="false">
      <c r="A8" s="31" t="n">
        <v>46279</v>
      </c>
      <c r="B8" s="12" t="s">
        <v>3</v>
      </c>
      <c r="C8" s="12" t="s">
        <v>42</v>
      </c>
      <c r="D8" s="12" t="s">
        <v>174</v>
      </c>
      <c r="E8" s="12"/>
      <c r="F8" s="12"/>
      <c r="G8" s="12"/>
      <c r="H8" s="12"/>
      <c r="I8" s="12"/>
    </row>
    <row r="9" customFormat="false" ht="30" hidden="false" customHeight="true" outlineLevel="0" collapsed="false">
      <c r="A9" s="31" t="n">
        <v>46279</v>
      </c>
      <c r="B9" s="12" t="s">
        <v>3</v>
      </c>
      <c r="C9" s="12" t="s">
        <v>51</v>
      </c>
      <c r="D9" s="12" t="s">
        <v>53</v>
      </c>
      <c r="E9" s="12"/>
      <c r="F9" s="12"/>
      <c r="G9" s="12"/>
      <c r="H9" s="12"/>
      <c r="I9" s="12"/>
    </row>
    <row r="10" customFormat="false" ht="30" hidden="false" customHeight="true" outlineLevel="0" collapsed="false">
      <c r="A10" s="31" t="n">
        <v>46279</v>
      </c>
      <c r="B10" s="12" t="s">
        <v>3</v>
      </c>
      <c r="C10" s="12" t="s">
        <v>69</v>
      </c>
      <c r="D10" s="12" t="s">
        <v>71</v>
      </c>
      <c r="E10" s="12"/>
      <c r="F10" s="12"/>
      <c r="G10" s="12"/>
      <c r="H10" s="12"/>
      <c r="I10" s="12"/>
    </row>
    <row r="11" customFormat="false" ht="30" hidden="false" customHeight="true" outlineLevel="0" collapsed="false">
      <c r="A11" s="31" t="n">
        <v>46279</v>
      </c>
      <c r="B11" s="12" t="s">
        <v>3</v>
      </c>
      <c r="C11" s="12" t="s">
        <v>78</v>
      </c>
      <c r="D11" s="12" t="s">
        <v>80</v>
      </c>
      <c r="E11" s="12"/>
      <c r="F11" s="12"/>
      <c r="G11" s="12"/>
      <c r="H11" s="12"/>
      <c r="I11" s="12"/>
    </row>
    <row r="12" customFormat="false" ht="30" hidden="false" customHeight="true" outlineLevel="0" collapsed="false">
      <c r="A12" s="31" t="n">
        <v>46279</v>
      </c>
      <c r="B12" s="12" t="s">
        <v>3</v>
      </c>
      <c r="C12" s="33" t="s">
        <v>60</v>
      </c>
      <c r="D12" s="16" t="s">
        <v>62</v>
      </c>
      <c r="E12" s="23"/>
      <c r="F12" s="23"/>
      <c r="G12" s="23"/>
      <c r="H12" s="23"/>
      <c r="I12" s="23"/>
    </row>
    <row r="13" customFormat="false" ht="30" hidden="false" customHeight="true" outlineLevel="0" collapsed="false">
      <c r="A13" s="34" t="n">
        <v>46279</v>
      </c>
      <c r="B13" s="33" t="s">
        <v>3</v>
      </c>
      <c r="C13" s="33" t="s">
        <v>88</v>
      </c>
      <c r="D13" s="23" t="s">
        <v>90</v>
      </c>
      <c r="E13" s="23" t="s">
        <v>175</v>
      </c>
      <c r="F13" s="23"/>
      <c r="G13" s="23"/>
      <c r="H13" s="23"/>
      <c r="I13" s="23"/>
    </row>
    <row r="14" customFormat="false" ht="30" hidden="false" customHeight="true" outlineLevel="0" collapsed="false">
      <c r="A14" s="35" t="n">
        <v>46279</v>
      </c>
      <c r="B14" s="32" t="s">
        <v>3</v>
      </c>
      <c r="C14" s="32" t="s">
        <v>176</v>
      </c>
      <c r="D14" s="24" t="s">
        <v>113</v>
      </c>
      <c r="E14" s="24" t="s">
        <v>177</v>
      </c>
      <c r="F14" s="24"/>
      <c r="G14" s="24"/>
      <c r="H14" s="24"/>
      <c r="I14" s="24"/>
    </row>
    <row r="15" customFormat="false" ht="25.5" hidden="false" customHeight="true" outlineLevel="0" collapsed="false">
      <c r="A15" s="34" t="n">
        <v>46279</v>
      </c>
      <c r="B15" s="33" t="s">
        <v>3</v>
      </c>
      <c r="C15" s="33" t="s">
        <v>178</v>
      </c>
      <c r="D15" s="23" t="s">
        <v>120</v>
      </c>
      <c r="E15" s="23" t="s">
        <v>179</v>
      </c>
      <c r="F15" s="23"/>
      <c r="G15" s="23"/>
      <c r="H15" s="23"/>
      <c r="I15" s="23"/>
    </row>
    <row r="16" customFormat="false" ht="25.5" hidden="false" customHeight="true" outlineLevel="0" collapsed="false">
      <c r="A16" s="24"/>
      <c r="B16" s="32"/>
      <c r="C16" s="32"/>
      <c r="D16" s="24"/>
      <c r="E16" s="24"/>
      <c r="F16" s="24"/>
      <c r="G16" s="24"/>
      <c r="H16" s="24"/>
      <c r="I16" s="24"/>
    </row>
    <row r="17" customFormat="false" ht="25.5" hidden="false" customHeight="true" outlineLevel="0" collapsed="false">
      <c r="A17" s="23"/>
      <c r="B17" s="33"/>
      <c r="C17" s="33"/>
      <c r="D17" s="23"/>
      <c r="E17" s="23"/>
      <c r="F17" s="23"/>
      <c r="G17" s="23"/>
      <c r="H17" s="23"/>
      <c r="I17" s="23"/>
    </row>
    <row r="18" customFormat="false" ht="25.5" hidden="false" customHeight="true" outlineLevel="0" collapsed="false">
      <c r="A18" s="24"/>
      <c r="B18" s="32"/>
      <c r="C18" s="32"/>
      <c r="D18" s="24"/>
      <c r="E18" s="24"/>
      <c r="F18" s="24"/>
      <c r="G18" s="24"/>
      <c r="H18" s="24"/>
      <c r="I18" s="24"/>
    </row>
    <row r="19" customFormat="false" ht="25.5" hidden="false" customHeight="true" outlineLevel="0" collapsed="false">
      <c r="A19" s="23"/>
      <c r="B19" s="33"/>
      <c r="C19" s="33"/>
      <c r="D19" s="23"/>
      <c r="E19" s="23"/>
      <c r="F19" s="23"/>
      <c r="G19" s="23"/>
      <c r="H19" s="23"/>
      <c r="I19" s="23"/>
    </row>
    <row r="20" customFormat="false" ht="25.5" hidden="false" customHeight="true" outlineLevel="0" collapsed="false">
      <c r="A20" s="24"/>
      <c r="B20" s="32"/>
      <c r="C20" s="32"/>
      <c r="D20" s="24"/>
      <c r="E20" s="24"/>
      <c r="F20" s="24"/>
      <c r="G20" s="24"/>
      <c r="H20" s="24"/>
      <c r="I20" s="24"/>
    </row>
    <row r="21" customFormat="false" ht="25.5" hidden="false" customHeight="true" outlineLevel="0" collapsed="false">
      <c r="A21" s="23"/>
      <c r="B21" s="33"/>
      <c r="C21" s="33"/>
      <c r="D21" s="23"/>
      <c r="E21" s="23"/>
      <c r="F21" s="23"/>
      <c r="G21" s="23"/>
      <c r="H21" s="23"/>
      <c r="I21" s="23"/>
    </row>
    <row r="22" customFormat="false" ht="25.5" hidden="false" customHeight="true" outlineLevel="0" collapsed="false"/>
    <row r="23" customFormat="false" ht="25.5" hidden="false" customHeight="true" outlineLevel="0" collapsed="false">
      <c r="C23" s="36" t="s">
        <v>180</v>
      </c>
      <c r="D23" s="37" t="n">
        <f aca="false">COUNTIF($F$8:$F$18,"Green")</f>
        <v>0</v>
      </c>
      <c r="E23" s="38" t="n">
        <f aca="false">COUNTIF($F$8:$F$18,"Amber")</f>
        <v>0</v>
      </c>
      <c r="F23" s="39" t="n">
        <f aca="false">COUNTIF($F$8:$F$18,"Red")</f>
        <v>0</v>
      </c>
    </row>
    <row r="24" customFormat="false" ht="25.5" hidden="false" customHeight="true" outlineLevel="0" collapsed="false">
      <c r="D24" s="40" t="s">
        <v>181</v>
      </c>
      <c r="E24" s="40" t="s">
        <v>182</v>
      </c>
      <c r="F24" s="40" t="s">
        <v>183</v>
      </c>
    </row>
    <row r="25" customFormat="false" ht="25.5" hidden="false" customHeight="true" outlineLevel="0" collapsed="false"/>
    <row r="26" customFormat="false" ht="25.5" hidden="false" customHeight="true" outlineLevel="0" collapsed="false"/>
  </sheetData>
  <mergeCells count="5">
    <mergeCell ref="A1:I1"/>
    <mergeCell ref="A2:I2"/>
    <mergeCell ref="B3:C3"/>
    <mergeCell ref="E3:F3"/>
    <mergeCell ref="H3:I3"/>
  </mergeCells>
  <conditionalFormatting sqref="F6:F26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3">
      <formula>"Amber"</formula>
    </cfRule>
    <cfRule type="cellIs" priority="4" operator="equal" aboveAverage="0" equalAverage="0" bottom="0" percent="0" rank="0" text="" dxfId="4">
      <formula>"Red"</formula>
    </cfRule>
  </conditionalFormatting>
  <dataValidations count="4">
    <dataValidation allowBlank="true" error="Pick a value from the list." errorStyle="stop" errorTitle="Choose from the list" operator="between" showDropDown="false" showErrorMessage="false" showInputMessage="false" sqref="B6:B26" type="list">
      <formula1>"BUILD,GROW,LAUNCH"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C6:C26" type="list">
      <formula1>"English,Maths,Science,PSHE / RSE,RE,Humanities,Arts (Arts Award),PE,Careers / Vocational (ASDAN),Computing / Digital,Personal Development / PfA"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F6:F26" type="list">
      <formula1>"Green,Amber,Red"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H6:H26" type="list">
      <formula1>"Achieved (move on),Revisit in class,Intervention"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2026-06-22T07:46:21Z</dcterms:created>
  <dc:creator>openpyxl</dc:creator>
  <dc:description/>
  <dc:language>en-US</dc:language>
  <cp:lastModifiedBy>Helen Stewart</cp:lastModifiedBy>
  <dcterms:modified xsi:type="dcterms:W3CDTF">2026-07-15T11:04:50Z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0x0101002C6E38C4B2056147BFEE88C7F682B392</vt:lpwstr>
  </property>
  <property fmtid="{D5CDD505-2E9C-101B-9397-08002B2CF9AE}" pid="3" name="MediaServiceImageTags">
    <vt:lpwstr/>
  </property>
</Properties>
</file>