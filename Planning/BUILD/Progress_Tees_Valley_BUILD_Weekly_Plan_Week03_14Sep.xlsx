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eekly Plan" sheetId="1" state="visible" r:id="rId1"/>
    <sheet name="Students" sheetId="2" state="visible" r:id="rId2"/>
    <sheet name="Outcomes RAG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yyyy\-mm\-dd\ h:mm:ss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color rgb="FF566159"/>
      <sz val="10"/>
    </font>
    <font>
      <name val="Arial"/>
      <charset val="1"/>
      <family val="0"/>
      <b val="1"/>
      <color rgb="FF566159"/>
      <sz val="9"/>
    </font>
    <font>
      <name val="Arial"/>
      <charset val="1"/>
      <family val="0"/>
      <b val="1"/>
      <color rgb="FF1B2420"/>
      <sz val="10"/>
    </font>
    <font>
      <name val="Arial"/>
      <charset val="1"/>
      <family val="0"/>
      <b val="1"/>
      <color rgb="FF2E7D4F"/>
      <sz val="10"/>
    </font>
    <font>
      <name val="Arial"/>
      <charset val="1"/>
      <family val="0"/>
      <color rgb="FF2E2A5D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B2420"/>
      <sz val="9"/>
    </font>
    <font>
      <name val="Arial"/>
      <charset val="1"/>
      <family val="2"/>
      <color rgb="FF000000"/>
      <sz val="9"/>
    </font>
    <font>
      <name val="Arial"/>
      <charset val="1"/>
      <family val="0"/>
      <color rgb="FF1B2420"/>
      <sz val="9"/>
    </font>
    <font>
      <name val="Arial"/>
      <charset val="1"/>
      <family val="2"/>
      <color rgb="FF1B2420"/>
      <sz val="9"/>
    </font>
    <font>
      <name val="Aptos"/>
      <charset val="1"/>
      <family val="2"/>
      <color rgb="FF222222"/>
      <sz val="9"/>
    </font>
    <font>
      <name val="Arial"/>
      <charset val="1"/>
      <family val="0"/>
      <i val="1"/>
      <color rgb="FF566159"/>
      <sz val="8"/>
    </font>
    <font>
      <name val="Arial"/>
      <charset val="1"/>
      <family val="0"/>
      <b val="1"/>
      <color rgb="FFFFFFFF"/>
      <sz val="16"/>
    </font>
    <font>
      <name val="Arial"/>
      <charset val="1"/>
      <family val="2"/>
      <b val="1"/>
      <color rgb="FFFFFFFF"/>
      <sz val="16"/>
    </font>
    <font>
      <name val="Arial"/>
      <charset val="1"/>
      <family val="2"/>
      <sz val="10"/>
    </font>
    <font>
      <name val="Arial"/>
      <charset val="1"/>
      <family val="2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566159"/>
      <sz val="8"/>
    </font>
  </fonts>
  <fills count="10">
    <fill>
      <patternFill/>
    </fill>
    <fill>
      <patternFill patternType="gray125"/>
    </fill>
    <fill>
      <patternFill patternType="solid">
        <fgColor rgb="FFD6006E"/>
        <bgColor rgb="FF800080"/>
      </patternFill>
    </fill>
    <fill>
      <patternFill patternType="solid">
        <fgColor rgb="FFFBE3F0"/>
        <bgColor rgb="FFEFE9F2"/>
      </patternFill>
    </fill>
    <fill>
      <patternFill patternType="solid">
        <fgColor rgb="FFEFE9F2"/>
        <bgColor rgb="FFFBE3F0"/>
      </patternFill>
    </fill>
    <fill>
      <patternFill patternType="solid">
        <fgColor rgb="FFFFFFFF"/>
        <bgColor rgb="FFF4F7F3"/>
      </patternFill>
    </fill>
    <fill>
      <patternFill patternType="solid">
        <fgColor rgb="FFF4F7F3"/>
        <bgColor rgb="FFFFFFFF"/>
      </patternFill>
    </fill>
    <fill>
      <patternFill patternType="solid">
        <fgColor rgb="FF2E7D4F"/>
        <bgColor rgb="FF1F6F7A"/>
      </patternFill>
    </fill>
    <fill>
      <patternFill patternType="solid">
        <fgColor rgb="FFD9A227"/>
        <bgColor rgb="FFB8742A"/>
      </patternFill>
    </fill>
    <fill>
      <patternFill patternType="solid">
        <fgColor rgb="FFC0392B"/>
        <bgColor rgb="FF993366"/>
      </patternFill>
    </fill>
  </fills>
  <borders count="13">
    <border>
      <left/>
      <right/>
      <top/>
      <bottom/>
      <diagonal/>
    </border>
    <border>
      <left/>
      <right/>
      <top/>
      <bottom style="thin">
        <color rgb="FFC3CDC1"/>
      </bottom>
      <diagonal/>
    </border>
    <border>
      <left style="thin">
        <color rgb="FFC9C9D6"/>
      </left>
      <right style="thin">
        <color rgb="FFC9C9D6"/>
      </right>
      <top style="thin">
        <color rgb="FFC9C9D6"/>
      </top>
      <bottom style="thin">
        <color rgb="FFC9C9D6"/>
      </bottom>
      <diagonal/>
    </border>
    <border>
      <left style="thin">
        <color rgb="FFC3CDC1"/>
      </left>
      <right style="thin">
        <color rgb="FFC3CDC1"/>
      </right>
      <top style="thin">
        <color rgb="FFC3CDC1"/>
      </top>
      <bottom style="thin">
        <color rgb="FFC3CDC1"/>
      </bottom>
      <diagonal/>
    </border>
    <border>
      <left style="thin"/>
      <right style="thin"/>
      <top style="thin"/>
      <bottom style="thin"/>
      <diagonal/>
    </border>
    <border>
      <left/>
      <right/>
      <top style="thin">
        <color rgb="FFC9C9D6"/>
      </top>
      <bottom/>
      <diagonal/>
    </border>
    <border>
      <left/>
      <right style="thin">
        <color rgb="FFC9C9D6"/>
      </right>
      <top style="thin">
        <color rgb="FFC9C9D6"/>
      </top>
      <bottom/>
      <diagonal/>
    </border>
    <border>
      <left/>
      <right/>
      <top style="thin">
        <color rgb="FFC9C9D6"/>
      </top>
      <bottom style="thin">
        <color rgb="FFC9C9D6"/>
      </bottom>
      <diagonal/>
    </border>
    <border>
      <left/>
      <right style="thin">
        <color rgb="FFC9C9D6"/>
      </right>
      <top style="thin">
        <color rgb="FFC9C9D6"/>
      </top>
      <bottom style="thin">
        <color rgb="FFC9C9D6"/>
      </bottom>
      <diagonal/>
    </border>
    <border>
      <left/>
      <right/>
      <top style="thin">
        <color rgb="FFC3CDC1"/>
      </top>
      <bottom/>
      <diagonal/>
    </border>
    <border>
      <left/>
      <right style="thin">
        <color rgb="FFC3CDC1"/>
      </right>
      <top style="thin">
        <color rgb="FFC3CDC1"/>
      </top>
      <bottom/>
      <diagonal/>
    </border>
    <border>
      <left/>
      <right/>
      <top style="thin">
        <color rgb="FFC3CDC1"/>
      </top>
      <bottom style="thin">
        <color rgb="FFC3CDC1"/>
      </bottom>
      <diagonal/>
    </border>
    <border>
      <left/>
      <right style="thin">
        <color rgb="FFC3CDC1"/>
      </right>
      <top style="thin">
        <color rgb="FFC3CDC1"/>
      </top>
      <bottom style="thin">
        <color rgb="FFC3CDC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left" vertical="center"/>
    </xf>
    <xf numFmtId="0" fontId="9" fillId="4" borderId="2" applyAlignment="1" pivotButton="0" quotePrefix="0" xfId="0">
      <alignment horizontal="general" vertical="top" wrapText="1"/>
    </xf>
    <xf numFmtId="0" fontId="10" fillId="2" borderId="3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left" vertical="center" wrapText="1"/>
    </xf>
    <xf numFmtId="0" fontId="12" fillId="5" borderId="4" applyAlignment="1" pivotButton="0" quotePrefix="0" xfId="0">
      <alignment horizontal="general" vertical="bottom" wrapText="1"/>
    </xf>
    <xf numFmtId="0" fontId="13" fillId="5" borderId="3" applyAlignment="1" pivotButton="0" quotePrefix="0" xfId="0">
      <alignment horizontal="left" vertical="center" wrapText="1"/>
    </xf>
    <xf numFmtId="0" fontId="11" fillId="6" borderId="3" applyAlignment="1" pivotButton="0" quotePrefix="0" xfId="0">
      <alignment horizontal="left" vertical="center" wrapText="1"/>
    </xf>
    <xf numFmtId="0" fontId="14" fillId="6" borderId="3" applyAlignment="1" pivotButton="0" quotePrefix="0" xfId="0">
      <alignment horizontal="left" vertical="center" wrapText="1"/>
    </xf>
    <xf numFmtId="0" fontId="13" fillId="6" borderId="3" applyAlignment="1" pivotButton="0" quotePrefix="0" xfId="0">
      <alignment horizontal="left" vertical="center" wrapText="1"/>
    </xf>
    <xf numFmtId="0" fontId="15" fillId="5" borderId="4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general" vertical="top" wrapText="1"/>
    </xf>
    <xf numFmtId="0" fontId="14" fillId="6" borderId="3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0" fontId="13" fillId="5" borderId="3" applyAlignment="1" pivotButton="0" quotePrefix="0" xfId="0">
      <alignment horizontal="left" vertical="top" wrapText="1"/>
    </xf>
    <xf numFmtId="0" fontId="0" fillId="5" borderId="3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164" fontId="11" fillId="5" borderId="3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5" borderId="3" applyAlignment="1" pivotButton="0" quotePrefix="0" xfId="0">
      <alignment horizontal="left" vertical="center" wrapText="1"/>
    </xf>
    <xf numFmtId="165" fontId="0" fillId="5" borderId="3" applyAlignment="1" pivotButton="0" quotePrefix="0" xfId="0">
      <alignment horizontal="left" vertical="center" wrapText="1"/>
    </xf>
    <xf numFmtId="165" fontId="0" fillId="6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0" fillId="0" borderId="1" pivotButton="0" quotePrefix="0" xfId="0"/>
    <xf numFmtId="164" fontId="7" fillId="0" borderId="1" applyAlignment="1" pivotButton="0" quotePrefix="0" xfId="0">
      <alignment horizontal="left" vertical="center"/>
    </xf>
    <xf numFmtId="0" fontId="9" fillId="4" borderId="2" applyAlignment="1" pivotButton="0" quotePrefix="0" xfId="0">
      <alignment horizontal="general" vertical="top" wrapText="1"/>
    </xf>
    <xf numFmtId="0" fontId="0" fillId="0" borderId="7" pivotButton="0" quotePrefix="0" xfId="0"/>
    <xf numFmtId="0" fontId="0" fillId="0" borderId="8" pivotButton="0" quotePrefix="0" xfId="0"/>
    <xf numFmtId="0" fontId="10" fillId="2" borderId="3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left" vertical="center" wrapText="1"/>
    </xf>
    <xf numFmtId="0" fontId="12" fillId="5" borderId="4" applyAlignment="1" pivotButton="0" quotePrefix="0" xfId="0">
      <alignment horizontal="general" vertical="bottom" wrapText="1"/>
    </xf>
    <xf numFmtId="0" fontId="13" fillId="5" borderId="3" applyAlignment="1" pivotButton="0" quotePrefix="0" xfId="0">
      <alignment horizontal="left" vertical="center" wrapText="1"/>
    </xf>
    <xf numFmtId="0" fontId="11" fillId="6" borderId="3" applyAlignment="1" pivotButton="0" quotePrefix="0" xfId="0">
      <alignment horizontal="left" vertical="center" wrapText="1"/>
    </xf>
    <xf numFmtId="0" fontId="14" fillId="6" borderId="3" applyAlignment="1" pivotButton="0" quotePrefix="0" xfId="0">
      <alignment horizontal="left" vertical="center" wrapText="1"/>
    </xf>
    <xf numFmtId="0" fontId="13" fillId="6" borderId="3" applyAlignment="1" pivotButton="0" quotePrefix="0" xfId="0">
      <alignment horizontal="left" vertical="center" wrapText="1"/>
    </xf>
    <xf numFmtId="0" fontId="15" fillId="5" borderId="4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general" vertical="top" wrapText="1"/>
    </xf>
    <xf numFmtId="0" fontId="0" fillId="0" borderId="11" pivotButton="0" quotePrefix="0" xfId="0"/>
    <xf numFmtId="0" fontId="0" fillId="0" borderId="12" pivotButton="0" quotePrefix="0" xfId="0"/>
    <xf numFmtId="0" fontId="14" fillId="6" borderId="3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0" fontId="13" fillId="5" borderId="3" applyAlignment="1" pivotButton="0" quotePrefix="0" xfId="0">
      <alignment horizontal="left" vertical="top" wrapText="1"/>
    </xf>
    <xf numFmtId="0" fontId="0" fillId="5" borderId="3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164" fontId="11" fillId="5" borderId="3" applyAlignment="1" pivotButton="0" quotePrefix="0" xfId="0">
      <alignment horizontal="left" vertical="center" wrapText="1"/>
    </xf>
    <xf numFmtId="165" fontId="0" fillId="5" borderId="3" applyAlignment="1" pivotButton="0" quotePrefix="0" xfId="0">
      <alignment horizontal="left" vertical="center" wrapText="1"/>
    </xf>
    <xf numFmtId="165" fontId="0" fillId="6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name val="Arial"/>
        <charset val="1"/>
        <family val="0"/>
        <b val="1"/>
        <color rgb="FFFFFFFF"/>
      </font>
      <fill>
        <patternFill>
          <bgColor rgb="FF2E7D4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8742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F6F7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D9A227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392B"/>
        </patternFill>
      </fill>
    </dxf>
  </dxfs>
  <colors>
    <indexedColors>
      <rgbColor rgb="FF000000"/>
      <rgbColor rgb="FFFFFFFF"/>
      <rgbColor rgb="FFD6006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42A"/>
      <rgbColor rgb="FF800080"/>
      <rgbColor rgb="FF1F6F7A"/>
      <rgbColor rgb="FFC3CDC1"/>
      <rgbColor rgb="FF808080"/>
      <rgbColor rgb="FF9999FF"/>
      <rgbColor rgb="FF993366"/>
      <rgbColor rgb="FFF4F7F3"/>
      <rgbColor rgb="FFEFE9F2"/>
      <rgbColor rgb="FF660066"/>
      <rgbColor rgb="FFFF8080"/>
      <rgbColor rgb="FF0066CC"/>
      <rgbColor rgb="FFC9C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F0"/>
      <rgbColor rgb="FF3366FF"/>
      <rgbColor rgb="FF33CCCC"/>
      <rgbColor rgb="FF99CC00"/>
      <rgbColor rgb="FFFFCC00"/>
      <rgbColor rgb="FFD9A227"/>
      <rgbColor rgb="FFFF6600"/>
      <rgbColor rgb="FF566159"/>
      <rgbColor rgb="FF969696"/>
      <rgbColor rgb="FF003366"/>
      <rgbColor rgb="FF2E7D4F"/>
      <rgbColor rgb="FF1B2420"/>
      <rgbColor rgb="FF222222"/>
      <rgbColor rgb="FFC0392B"/>
      <rgbColor rgb="FF993366"/>
      <rgbColor rgb="FF333399"/>
      <rgbColor rgb="FF2E2A5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D6006E"/>
    <outlinePr summaryBelow="1" summaryRight="1"/>
    <pageSetUpPr fitToPage="0"/>
  </sheetPr>
  <dimension ref="A1:J3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9" topLeftCell="A11" activePane="bottomLeft" state="frozen"/>
      <selection pane="topLeft" activeCell="A1" activeCellId="0" sqref="A1"/>
      <selection pane="bottomLeft" activeCell="B11" activeCellId="0" sqref="B11"/>
    </sheetView>
  </sheetViews>
  <sheetFormatPr baseColWidth="8" defaultColWidth="8.5625" defaultRowHeight="14.25" zeroHeight="0" outlineLevelRow="0"/>
  <cols>
    <col width="18" customWidth="1" style="41" min="1" max="1"/>
    <col width="20" customWidth="1" style="41" min="2" max="2"/>
    <col width="26" customWidth="1" style="41" min="3" max="4"/>
    <col width="16" customWidth="1" style="41" min="5" max="5"/>
    <col width="20" customWidth="1" style="41" min="6" max="6"/>
    <col width="10" customWidth="1" style="41" min="7" max="7"/>
    <col width="26" customWidth="1" style="41" min="8" max="8"/>
    <col width="22" customWidth="1" style="41" min="9" max="10"/>
  </cols>
  <sheetData>
    <row r="1" ht="30" customHeight="1" s="42">
      <c r="A1" s="43" t="inlineStr">
        <is>
          <t>Weekly Planner - To be submitted to Head of School prior to the start of each Half-Term</t>
        </is>
      </c>
    </row>
    <row r="2" ht="14.25" customHeight="1" s="42">
      <c r="A2" s="44" t="inlineStr">
        <is>
          <t>Progress Schools  ·  linked to the 2026/27 Schemes of Work</t>
        </is>
      </c>
    </row>
    <row r="3"/>
    <row r="4" ht="19.5" customHeight="1" s="42">
      <c r="A4" s="45" t="inlineStr">
        <is>
          <t>Pathway</t>
        </is>
      </c>
      <c r="B4" s="46" t="inlineStr">
        <is>
          <t>BUILD</t>
        </is>
      </c>
      <c r="D4" s="41" t="n">
        <v>3</v>
      </c>
      <c r="F4" s="45" t="inlineStr">
        <is>
          <t>Week no.</t>
        </is>
      </c>
      <c r="G4" s="46" t="n">
        <v>3</v>
      </c>
    </row>
    <row r="5" ht="19.5" customHeight="1" s="42">
      <c r="A5" s="45" t="inlineStr">
        <is>
          <t>Term</t>
        </is>
      </c>
      <c r="B5" s="46" t="inlineStr">
        <is>
          <t>Autumn</t>
        </is>
      </c>
      <c r="F5" s="45" t="inlineStr">
        <is>
          <t>Group / class</t>
        </is>
      </c>
      <c r="G5" s="46" t="n"/>
    </row>
    <row r="6" ht="19.5" customHeight="1" s="42">
      <c r="A6" s="45" t="inlineStr">
        <is>
          <t>Theme</t>
        </is>
      </c>
      <c r="B6" s="47">
        <f>IF(B5="Autumn","Identity &amp; Belonging",IF(B5="Spring","Resilience &amp; Change",IF(B5="Summer","Our World, My Future","pick a term")))</f>
        <v/>
      </c>
      <c r="C6" s="48" t="n"/>
      <c r="D6" s="48" t="n"/>
      <c r="F6" s="45" t="inlineStr">
        <is>
          <t>Teacher</t>
        </is>
      </c>
      <c r="G6" s="46" t="n"/>
    </row>
    <row r="7" ht="19.5" customHeight="1" s="42">
      <c r="A7" s="45" t="inlineStr">
        <is>
          <t>Week commencing</t>
        </is>
      </c>
      <c r="B7" s="49" t="n">
        <v>46279</v>
      </c>
      <c r="F7" s="45" t="inlineStr">
        <is>
          <t>Reviewed by</t>
        </is>
      </c>
      <c r="G7" s="46" t="n"/>
    </row>
    <row r="8" ht="33.75" customHeight="1" s="42">
      <c r="A8" s="50" t="inlineStr">
        <is>
          <t>SMSC/BV this week: Build RE begins the festivals-of-light block (Diwali) — pre-teaching ahead of the November festival; makes start the Festivals-of-Light display (evidence platform: cultural).  PSHE's real class vote = democracy in action — log in the BV hub.  PREP: International Day of Peace is Monday of next week.</t>
        </is>
      </c>
      <c r="B8" s="51" t="n"/>
      <c r="C8" s="51" t="n"/>
      <c r="D8" s="51" t="n"/>
      <c r="E8" s="51" t="n"/>
      <c r="F8" s="51" t="n"/>
      <c r="G8" s="51" t="n"/>
      <c r="H8" s="51" t="n"/>
      <c r="I8" s="51" t="n"/>
      <c r="J8" s="52" t="n"/>
    </row>
    <row r="9" ht="30" customHeight="1" s="42">
      <c r="A9" s="53" t="inlineStr">
        <is>
          <t>Subject</t>
        </is>
      </c>
      <c r="B9" s="53" t="inlineStr">
        <is>
          <t>SoW unit (this term)</t>
        </is>
      </c>
      <c r="C9" s="53" t="inlineStr">
        <is>
          <t>This week's outcome</t>
        </is>
      </c>
      <c r="D9" s="53" t="inlineStr">
        <is>
          <t>Activities</t>
        </is>
      </c>
      <c r="E9" s="53" t="inlineStr">
        <is>
          <t>Key vocabulary</t>
        </is>
      </c>
      <c r="F9" s="53" t="inlineStr">
        <is>
          <t>Resources required</t>
        </is>
      </c>
      <c r="G9" s="53" t="inlineStr">
        <is>
          <t>Assess. (F/S)</t>
        </is>
      </c>
      <c r="H9" s="53" t="inlineStr">
        <is>
          <t>Student adaptations</t>
        </is>
      </c>
      <c r="I9" s="53" t="inlineStr">
        <is>
          <t>Classroom support</t>
        </is>
      </c>
      <c r="J9" s="53" t="inlineStr">
        <is>
          <t>Evaluation (after teaching)</t>
        </is>
      </c>
    </row>
    <row r="10" ht="45.75" customHeight="1" s="42">
      <c r="A10" s="54" t="inlineStr">
        <is>
          <t>English</t>
        </is>
      </c>
      <c r="B10" s="55" t="inlineStr">
        <is>
          <t>Identity &amp; Belonging: skills and qualities for work</t>
        </is>
      </c>
      <c r="C10" s="55" t="inlineStr">
        <is>
          <t>I can explain the difference between a skill and a quality using examples.</t>
        </is>
      </c>
      <c r="D10" s="55" t="inlineStr">
        <is>
          <t>Arrival: sort cards into skill/quality → teacher models examples → students match skills to jobs/situations → write or say: 'This skill is useful because…'</t>
        </is>
      </c>
      <c r="E10" s="55" t="inlineStr">
        <is>
          <t xml:space="preserve">skill, quality, reliable, organised, teamwork, communication
</t>
        </is>
      </c>
      <c r="F10" s="55" t="inlineStr">
        <is>
          <t>Skill/quality cards; job scenario cards; sentence stems; mini whiteboards.</t>
        </is>
      </c>
      <c r="G10" s="56" t="inlineStr">
        <is>
          <t>F</t>
        </is>
      </c>
      <c r="H10" s="55" t="inlineStr">
        <is>
          <t>Use images/examples; reduce number of cards; oral answer option; writing frame.</t>
        </is>
      </c>
      <c r="I10" s="55" t="inlineStr">
        <is>
          <t>TA supports sorting and asks prompting questions. Teacher checks vocabulary understanding.</t>
        </is>
      </c>
      <c r="J10" s="55" t="inlineStr">
        <is>
          <t>Note vocabulary gaps and students able to explain examples.</t>
        </is>
      </c>
    </row>
    <row r="11" ht="330" customHeight="1" s="42">
      <c r="A11" s="57" t="inlineStr">
        <is>
          <t>Maths</t>
        </is>
      </c>
      <c r="B11" s="58" t="inlineStr">
        <is>
          <t>Number, calculation &amp; fractions (Y5/6)</t>
        </is>
      </c>
      <c r="C11" s="59" t="inlineStr">
        <is>
          <t>I can recognise, compare and use negative numbers in real-life situations and count forwards and backwards through zero.</t>
        </is>
      </c>
      <c r="D11" s="58" t="inlineStr">
        <is>
          <t>Temperature investigations.
Elevator/floor number activities.
Number line work extending below zero.
Compare and order positive and negative numbers.
Contextual problem solving.</t>
        </is>
      </c>
      <c r="E11" s="58" t="inlineStr">
        <is>
          <t>Negative
Positive
Zero
Below
Above
Temperature
Difference
Integer</t>
        </is>
      </c>
      <c r="F11" s="58" t="inlineStr">
        <is>
          <t>Vertical number lines
Thermometer diagrams
Interactive activities
Whiteboards
Worksheets</t>
        </is>
      </c>
      <c r="G11" s="59" t="inlineStr">
        <is>
          <t>F</t>
        </is>
      </c>
      <c r="H11" s="58" t="inlineStr">
        <is>
          <t>Concrete contexts first.
Visual number lines.
Reduced number range.
Extension with multiple negative values.Pupil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1" s="58" t="inlineStr">
        <is>
          <t>Teacher modelling.
Structured discussion.
TA-supported practical activities.</t>
        </is>
      </c>
      <c r="J11" s="59" t="inlineStr">
        <is>
          <t>Number line assessment.
Problem-solving task.
Questioning during activities.
Exit ticket.</t>
        </is>
      </c>
    </row>
    <row r="12" ht="339.75" customHeight="1" s="42">
      <c r="A12" s="54" t="inlineStr">
        <is>
          <t>Science</t>
        </is>
      </c>
      <c r="B12" s="56" t="inlineStr">
        <is>
          <t>White Rose Science Year 3 - Aut1·W3</t>
        </is>
      </c>
      <c r="C12" s="60" t="inlineStr">
        <is>
          <t>I can sort animals into those with a backbone and those without.</t>
        </is>
      </c>
      <c r="D12" s="56" t="inlineStr">
        <is>
          <t>v5 whiteboard deck 'Backbones and No Backbones': Find the backbone; Sort eight animals; Prove one of them. Runs across BOTH weekly 40-min periods: Period 1 → up to We Do 2; Period 2 = extended Independent Work → Lundy → Exit, where the practical and the Assessor Witness evidence are made. One print pack covers both periods.</t>
        </is>
      </c>
      <c r="E12" s="56" t="inlineStr">
        <is>
          <t>backbone, vertebrate, invertebrate, skeleton, support</t>
        </is>
      </c>
      <c r="F12" s="56" t="inlineStr">
        <is>
          <t>Science_Teesside/Build/SCI_B_W3_Backbones.html (3-tier print pack off the title slide)</t>
        </is>
      </c>
      <c r="G12" s="56" t="inlineStr">
        <is>
          <t>F</t>
        </is>
      </c>
      <c r="H12" s="56" t="inlineStr">
        <is>
          <t>Tiered 3 ways (Supported/Standard/Stretch) at arrival, independent work and exit. Bodies and food are personal. Teach every idea on the model, the diagram or the picture card - never on a pupil's own body, and never on what a pupil has eaten. If a pupil steps out, the diagram waits for them.</t>
        </is>
      </c>
      <c r="I12" s="56" t="inlineStr">
        <is>
          <t>TA draws round pupils who want it and manages the floor space. Teacher touches their own bone every time a name is said — mirror learning. LOOP [Feedback Policy]: Voice = point/place the label/say the name [VF, ?] → Audience: name one bone back; [R] once received → EVIDENCE: labelled outline photo, upload same day [E: science — daily evidence platform; banks ELC 8939].</t>
        </is>
      </c>
      <c r="J12" s="56" t="inlineStr">
        <is>
          <t>Note who names 3+ bones unprompted.  → Influence: bone names are needed for W5 muscles — carry the labels forward, do not clear them away [NS].</t>
        </is>
      </c>
    </row>
    <row r="13" ht="330" customHeight="1" s="42">
      <c r="A13" s="57" t="inlineStr">
        <is>
          <t>PSHE / RSE</t>
        </is>
      </c>
      <c r="B13" s="59" t="inlineStr">
        <is>
          <t>Identity, rights &amp; British values (PSHE Association KS3, adapted) · AQA UAS 'Rights &amp; responsibilities' · ladders toward Grow PSHE · SoW Aut1·W3</t>
        </is>
      </c>
      <c r="C13" s="59" t="inlineStr">
        <is>
          <t>I can take part in a fair class vote.</t>
        </is>
      </c>
      <c r="D13" s="59" t="inlineStr">
        <is>
          <t>Zones check-in settles the session.  Builds on the W2 charter: run a REAL vote — two rec-time options pitched (pupils present or choose a presenter) → make simple posters or a 15-sec phone ad per side → secret ballot with a real ballot box and booth → count the votes together, in front of everyone → debrief: what made it fair? (secret, one each, counted openly) → exit: 'the vote was fair because…'.  EVIDENCE: ballot photos + count clip (banks AQA UAS).  GROW STRETCH: 'Going for Grow' card — what would make a vote UNfair?</t>
        </is>
      </c>
      <c r="E13" s="59" t="inlineStr">
        <is>
          <t>vote, ballot, secret, fair, count, choice, democracy</t>
        </is>
      </c>
      <c r="F13" s="59" t="inlineStr">
        <is>
          <t>Ballot box &amp; booth; ballot slips (symbol-supported); poster/ad materials; phone for 15-sec ads; camera.</t>
        </is>
      </c>
      <c r="G13" s="59" t="inlineStr">
        <is>
          <t>F</t>
        </is>
      </c>
      <c r="H13" s="59" t="inlineStr">
        <is>
          <t>Tiered 3 ways at every step — scaffold, task version and evidence prompt (symbol-supported → sentence-stem → independent): same outcome, different rung. Hands-on route first; easy-read/symbol resources; chunked steps with modelling; movement built into every session.  Voting is by mark or symbol slip; presenting is opt-in with proxy allowed; the count is visual (tally tower).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3" s="59" t="inlineStr">
        <is>
          <t>TA runs the booth and supports the tally.  LOOP [Feedback Policy]: Voice = pitch/vote/count [VF] → Audience: name the fair-vote rule back; [R] once used for real → EVIDENCE: photos + clip, same day [E: BV democracy — daily evidence platform; banks AQA UAS].</t>
        </is>
      </c>
      <c r="J13" s="59" t="inlineStr">
        <is>
          <t>Influence: the winning option HAPPENS (that's the point) → pupil-voice log and the BV hub RAG; who links rules to fairness feeds W4 [NS].</t>
        </is>
      </c>
    </row>
    <row r="14" ht="330" customHeight="1" s="42">
      <c r="A14" s="54" t="inlineStr">
        <is>
          <t>RE</t>
        </is>
      </c>
      <c r="B14" s="56" t="inlineStr">
        <is>
          <t>Belief, festivals &amp; belonging (Kapow + RE, adapted) · ladders toward Grow RE · SoW Aut1·W3</t>
        </is>
      </c>
      <c r="C14" s="60" t="inlineStr">
        <is>
          <t>I can say what Diwali celebrates and join in respectfully.</t>
        </is>
      </c>
      <c r="D14" s="56" t="inlineStr">
        <is>
          <t>Arrival: an LED diya lit in a darkened room — what changes when light arrives? → the story of Rama and Sita told with props/shadow puppets (pupils operate the puppets) → hands-on rotation: rangoli patterns in coloured sand/rice (patterns labelled by NAME for Pupil B — never colour alone), clay diya making, mehndi-pattern design → each pupil records a 15-sec 'Diwali celebrates…' over a photo of their make.  EVIDENCE: makes + clips — the Festivals-of-Light display starts here.  GROW STRETCH: 'Going for Grow' card — say why light beats darkness in the story.</t>
        </is>
      </c>
      <c r="E14" s="56" t="inlineStr">
        <is>
          <t>Diwali, Hindu, diya, light, Rama, Sita, celebrate, rangoli</t>
        </is>
      </c>
      <c r="F14" s="56" t="inlineStr">
        <is>
          <t>LED diyas; shadow-puppet set; coloured sand/rice + named pattern guides; clay; mehndi design sheets; camera.</t>
        </is>
      </c>
      <c r="G14" s="56" t="inlineStr">
        <is>
          <t>F</t>
        </is>
      </c>
      <c r="H14" s="56" t="inlineStr">
        <is>
          <t>Tiered 3 ways at every step — scaffold, task version and evidence prompt (symbol-supported → sentence-stem → independent): same outcome, different rung. Hands-on route first; easy-read/symbol resources; chunked steps with modelling; movement built into every session.  Every station has a no-fail route (trace the pattern, press the clay); the 15-sec clip can be one word + the make.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4" s="56" t="inlineStr">
        <is>
          <t>TA runs the rotation and records each clip.  LOOP [Feedback Policy]: Voice = make + 15-sec clip [VF] → Audience: listen fully before tagging, then [R] → EVIDENCE: make photo + clip to the display, same day [E: cultural — daily evidence platform].</t>
        </is>
      </c>
      <c r="J14" s="56" t="inlineStr">
        <is>
          <t>Influence: makes and clips seed the W6 comparison grid and W8 showcase — keep everything — record the change made [NS].</t>
        </is>
      </c>
    </row>
    <row r="15" ht="330" customHeight="1" s="42">
      <c r="A15" s="57" t="inlineStr">
        <is>
          <t>Humanities</t>
        </is>
      </c>
      <c r="B15" s="59" t="inlineStr">
        <is>
          <t>Migration &amp; identity in Britain (Kapow History, adapted) · NC KS2, supported · AQA UAS 'History around us' · ladders toward Grow Humanities · SoW Aut1·W3</t>
        </is>
      </c>
      <c r="C15" s="60" t="inlineStr">
        <is>
          <t>I can give one reason people came to Britain and one thing that changed.</t>
        </is>
      </c>
      <c r="D15" s="56" t="inlineStr">
        <is>
          <t>Arrival: 'why move house?' — sort picture reasons (job, safety, family) → model cause→consequence arrows (came for work → new communities grew) → local hook: who came to work in Teesside's steel, docks and railways — then-and-now photos of our own area → you do: build one 'because… so…' arrow strip with picture cards → exit: say your arrow aloud.  EVIDENCE: arrow strips + photos (banks AQA UAS).  GROW STRETCH: 'Going for Grow' card — build a second arrow from a different reason.</t>
        </is>
      </c>
      <c r="E15" s="56" t="inlineStr">
        <is>
          <t>reason, cause, consequence, because, so, work, safety, community</t>
        </is>
      </c>
      <c r="F15" s="56" t="inlineStr">
        <is>
          <t>Picture reason cards; arrow strips; Teesside then-and-now photos (steel, docks, railways); camera.</t>
        </is>
      </c>
      <c r="G15" s="56" t="inlineStr">
        <is>
          <t>F</t>
        </is>
      </c>
      <c r="H15" s="56" t="inlineStr">
        <is>
          <t>Tiered 3 ways at every step — scaffold, task version and evidence prompt (symbol-supported → sentence-stem → independent): same outcome, different rung. Hands-on route first; easy-read/symbol resources; chunked steps with modelling; movement built into every session.  Arrows are physical card strips — no writing; 'because… so…' said aloud or scribed; local photos keep it concrete.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5" s="56" t="inlineStr">
        <is>
          <t>TA builds the first arrow with the group and scribes each spoken arrow.  LOOP [Feedback Policy]: Voice = build/say the arrow [VF, ?] → Audience: name cause and consequence back; [R] once received → EVIDENCE: strip photo, same day [E: humanities — daily evidence platform; banks AQA UAS].</t>
        </is>
      </c>
      <c r="J15" s="56" t="inlineStr">
        <is>
          <t>Influence: who separates cause from consequence shapes W4's profile work — record the change made [NS].</t>
        </is>
      </c>
    </row>
    <row r="16" ht="330" customHeight="1" s="42">
      <c r="A16" s="54" t="inlineStr">
        <is>
          <t>Arts (Arts Award)</t>
        </is>
      </c>
      <c r="B16" s="56" t="inlineStr">
        <is>
          <t>Identity in art &amp; developing skills (Trinity Arts Award Explore, supported) · AQA UAS 'Creating artwork' · toward Explore completion → Bronze (Launch) · SoW Creative Arts</t>
        </is>
      </c>
      <c r="C16" s="60" t="inlineStr">
        <is>
          <t>I can plan my identity artwork and choose my materials.</t>
        </is>
      </c>
      <c r="D16" s="56" t="inlineStr">
        <is>
          <t>Arrival: 'this is me' — pick 3 image/word/texture cards that feel like you → model a simple plan (idea + materials + one technique) → we do: plan a class demo piece together → you do: complete a picture-supported plan page (what I'll make / materials / textures, patterns and colours that mean something to me) → exit: tell the TA one thing your piece will say about you.  EVIDENCE: plan page in the Explore log.  GROW STRETCH: 'Going for Grow' card — name the W2 skill your plan uses.</t>
        </is>
      </c>
      <c r="E16" s="56" t="inlineStr">
        <is>
          <t>plan, idea, materials, choose, represent, identity, design</t>
        </is>
      </c>
      <c r="F16" s="56" t="inlineStr">
        <is>
          <t>Image/word/texture cards; picture-supported plan pages; Explore log; material sample tray; camera.</t>
        </is>
      </c>
      <c r="G16" s="56" t="inlineStr">
        <is>
          <t>F</t>
        </is>
      </c>
      <c r="H16" s="56" t="inlineStr">
        <is>
          <t>Tiered 3 ways at every step — scaffold, task version and evidence prompt (symbol-supported → sentence-stem → independent): same outcome, different rung. Hands-on route first; easy-read/symbol resources; chunked steps with modelling; movement built into every session.  Plans are stuck, not written — cards onto the page; texture/pattern choices are equal to colour choices (Pupil B).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6" s="56" t="inlineStr">
        <is>
          <t>TA scribes the 'my piece will say…' line beside each plan.  LOOP [Feedback Policy]: Voice = choose/stick/say [VF] → Audience: name the plan back; [R] once received → EVIDENCE: plan page photo, same day [E: Arts Award].</t>
        </is>
      </c>
      <c r="J16" s="56" t="inlineStr">
        <is>
          <t>Influence: the plan is the W4 contract — flag any pupil whose plan needs a materials pre-order [NS].</t>
        </is>
      </c>
    </row>
    <row r="17" ht="45.75" customHeight="1" s="42">
      <c r="A17" s="57" t="inlineStr">
        <is>
          <t>PE</t>
        </is>
      </c>
      <c r="B17" s="59" t="n"/>
      <c r="C17" s="59" t="n"/>
      <c r="D17" s="59" t="n"/>
      <c r="E17" s="59" t="n"/>
      <c r="F17" s="59" t="n"/>
      <c r="G17" s="59" t="n"/>
      <c r="H17" s="59" t="n"/>
      <c r="I17" s="59" t="n"/>
      <c r="J17" s="59" t="n"/>
    </row>
    <row r="18" ht="45.75" customHeight="1" s="42">
      <c r="A18" s="54" t="inlineStr">
        <is>
          <t>ASDAN PEQ (WellbLeE3)</t>
        </is>
      </c>
      <c r="B18" s="56" t="inlineStr">
        <is>
          <t>ASDAN PEQ · WellbLeE3 · Aut·W3 — E3.1 unit launch</t>
        </is>
      </c>
      <c r="C18" s="56" t="inlineStr">
        <is>
          <t>I can say what wellbeing in learning means for me.</t>
        </is>
      </c>
      <c r="D18" s="56" t="inlineStr">
        <is>
          <t>Unit launches; portfolio opened today. Arrival: revisit the W1 baseline sort — has anything changed? I DO: model wellbeing as 'what I need to learn well' — not a mood word. WE DO: build the class list. YOU DO: choose 3 cards true for YOU; adult scribes; photo into the portfolio. E3.1 evidenced. ⚠️ REGISTRATION MUST BE COMPLETE — no evidence counts before it.</t>
        </is>
      </c>
      <c r="E18" s="56" t="inlineStr">
        <is>
          <t>wellbeing, learning, need, help, choose, portfolio, evidence</t>
        </is>
      </c>
      <c r="F18" s="56" t="inlineStr">
        <is>
          <t>PEQ spec v1.2; WellbLeE3 unit pages; picture-sort cards; Evidence Binder opened; camera; ⚠️ registration confirmation.</t>
        </is>
      </c>
      <c r="G18" s="56" t="inlineStr">
        <is>
          <t>F</t>
        </is>
      </c>
      <c r="H18" s="56" t="inlineStr">
        <is>
          <t>Symbol bank for the class definition; pupil's own words are the evidence — scribe verbatim, never tidy the language; movement route through the sort for pupils who need it</t>
        </is>
      </c>
      <c r="I18" s="56" t="inlineStr">
        <is>
          <t>TA photographs the sort and scribes each statement; teacher leads the criterion talk; evidence filed to Evidence Binder same day tagged E3.1.1</t>
        </is>
      </c>
      <c r="J18" s="56" t="n"/>
    </row>
    <row r="19" ht="45.75" customHeight="1" s="42">
      <c r="A19" s="54" t="inlineStr">
        <is>
          <t>Slot 1 · Careers (ASDAN)</t>
        </is>
      </c>
      <c r="B19" s="56" t="inlineStr">
        <is>
          <t>Careers &amp; world of work — strengths to jobs (evidences ASDAN Living Independently M8; AQA UAS)</t>
        </is>
      </c>
      <c r="C19" s="56" t="inlineStr">
        <is>
          <t>I can match jobs to their tasks and tools.</t>
        </is>
      </c>
      <c r="D19" s="56" t="inlineStr">
        <is>
          <t>Job/task/tool triad matching → mystery-object round (what job uses this?) → “hardest job here” debate.</t>
        </is>
      </c>
      <c r="E19" s="56" t="inlineStr">
        <is>
          <t>strength, skill, job, worker, employer, routine, profile, evidence</t>
        </is>
      </c>
      <c r="F19" s="56" t="inlineStr">
        <is>
          <t>Strength cards; local jobs photo bank; profile posters; visitor link. W1 lesson: BUILD_L1_Careers_Strengths.html (evidence print incl. Yellow Box/WWW-EBI footer).</t>
        </is>
      </c>
      <c r="G19" s="56" t="inlineStr">
        <is>
          <t>F</t>
        </is>
      </c>
      <c r="H19" s="56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19" s="56" t="inlineStr">
        <is>
          <t>TA runs paired talk with stems; scribes for reluctant writers (note “TA scribed”); champions Pupil A early and often.</t>
        </is>
      </c>
      <c r="J19" s="56" t="n"/>
    </row>
    <row r="20" ht="45.75" customHeight="1" s="42">
      <c r="A20" s="54" t="inlineStr">
        <is>
          <t>Slot 2 · Vocational / D&amp;T (ASDAN)</t>
        </is>
      </c>
      <c r="B20" s="56" t="inlineStr">
        <is>
          <t>D&amp;T via ASDAN tasters: kitchen skills → Textiles design-make-evaluate (Aut1); Construction from Aut2</t>
        </is>
      </c>
      <c r="C20" s="56" t="inlineStr">
        <is>
          <t>I can explore fabrics and practise a simple join or stitch.</t>
        </is>
      </c>
      <c r="D20" s="56" t="inlineStr">
        <is>
          <t>Fabric feely exploration → practise a running stitch / join on scrap → sample card made and photographed.</t>
        </is>
      </c>
      <c r="E20" s="56" t="inlineStr">
        <is>
          <t>tool, safety, hygiene, recipe, fabric, join, design, evaluate</t>
        </is>
      </c>
      <c r="F20" s="56" t="inlineStr">
        <is>
          <t>Kitchen + tools, PPE, recipe cards; fabrics &amp; fastenings. W1 lesson: BUILD_L1_Vocational_Kitchen_Induction.html.</t>
        </is>
      </c>
      <c r="G20" s="56" t="inlineStr">
        <is>
          <t>F</t>
        </is>
      </c>
      <c r="H20" s="56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0" s="56" t="inlineStr">
        <is>
          <t>TA runs safe-carry / wash-up stations; signs skill cards only when genuinely met; models every technique first.</t>
        </is>
      </c>
      <c r="J20" s="56" t="n"/>
    </row>
    <row r="21" ht="45.75" customHeight="1" s="42">
      <c r="A21" s="54" t="inlineStr">
        <is>
          <t>Slot 3 · PfA — ASDAN Living Independently</t>
        </is>
      </c>
      <c r="B21" s="56" t="inlineStr">
        <is>
          <t>ASDAN LI — M1 Earning &amp; Spending Money (Aut1) → M2 Keeping Track of Your Money (Aut2); Section A: 4 challenges over ~10 hrs = 1 credit per module</t>
        </is>
      </c>
      <c r="C21" s="56" t="inlineStr">
        <is>
          <t>Ways to pay: I can name cash, card, contactless and online — and use each safely.</t>
        </is>
      </c>
      <c r="D21" s="56" t="inlineStr">
        <is>
          <t>Payment-method stations (practice money, demo card) → safe-use rules sort → role-play a purchase.</t>
        </is>
      </c>
      <c r="E21" s="56" t="inlineStr">
        <is>
          <t>income, spending, wages, benefits, payslip, price, budget, bank</t>
        </is>
      </c>
      <c r="F21" s="56" t="inlineStr">
        <is>
          <t>Practice money + tins, payslip, price tags, money-map paper, spending diary; LI student book / e-portfolio. W1 lesson: BUILD_L1_LI_Where_Money_Comes_From.html.</t>
        </is>
      </c>
      <c r="G21" s="56" t="inlineStr">
        <is>
          <t>F</t>
        </is>
      </c>
      <c r="H21" s="56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1" s="56" t="inlineStr">
        <is>
          <t>TA runs wage-packet counting 1:1; money talk stays judgement-free; NO personal family finances recorded.</t>
        </is>
      </c>
      <c r="J21" s="56" t="n"/>
    </row>
    <row r="22" ht="45.75" customHeight="1" s="42">
      <c r="A22" s="54" t="inlineStr">
        <is>
          <t>Slot 4 · PfA — ASDAN FoodWise</t>
        </is>
      </c>
      <c r="B22" s="56" t="inlineStr">
        <is>
          <t>ASDAN FoodWise — M1 Healthy Eating (Aut1) → M2 Basic Food Safety (Aut2); Section A: 4 challenges over ~10 hrs = 1 credit per module</t>
        </is>
      </c>
      <c r="C22" s="56" t="inlineStr">
        <is>
          <t>Traffic-light labels: I can read packaging for sugar, fat and salt and compare two products.</t>
        </is>
      </c>
      <c r="D22" s="56" t="inlineStr">
        <is>
          <t>Label detective with real packaging → red/amber/green reading (word+symbol, never colour alone) → compare two products.</t>
        </is>
      </c>
      <c r="E22" s="56" t="inlineStr">
        <is>
          <t>food group, carbohydrate, protein, dairy, balance, label, hygiene, safety</t>
        </is>
      </c>
      <c r="F22" s="56" t="inlineStr">
        <is>
          <t>Eatwell mat + real foods, packaging for traffic-light labels, kitchen, display kit; FoodWise student book. SMSC anchor: World Food Day 16 Oct. W1 lesson: FW_L1_Food_Groups.html.</t>
        </is>
      </c>
      <c r="G22" s="56" t="inlineStr">
        <is>
          <t>F</t>
        </is>
      </c>
      <c r="H22" s="56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2" s="56" t="inlineStr">
        <is>
          <t>TA runs food-handling hygiene checks; allergy list confirmed with the office before EVERY food session; photo evidence per pupil per practical.</t>
        </is>
      </c>
      <c r="J22" s="56" t="n"/>
    </row>
    <row r="23" ht="45.75" customHeight="1" s="42">
      <c r="A23" s="54" t="inlineStr">
        <is>
          <t>Slot 5 · Community A — Community Project &amp; Vocational</t>
        </is>
      </c>
      <c r="B23" s="56" t="inlineStr">
        <is>
          <t>Community Project &amp; Vocational — sustained local contribution; ASDAN/UAS community evidence. Trips/Visits policy applies to ALL off-site work (approval 4 weeks ahead, min. two staff).</t>
        </is>
      </c>
      <c r="C23" s="56" t="inlineStr">
        <is>
          <t>I can decide roles and responsibilities in the team.</t>
        </is>
      </c>
      <c r="D23" s="56" t="inlineStr">
        <is>
          <t>Role cards matched to strengths (links Careers W1) → responsibilities agreed → role badge made.</t>
        </is>
      </c>
      <c r="E23" s="56" t="inlineStr">
        <is>
          <t>community, project, partner, role, responsibility, contribute, evidence</t>
        </is>
      </c>
      <c r="F23" s="56" t="inlineStr">
        <is>
          <t>Local partner venue; PPE as required; project log; camera. ICT embedded: digital project log.</t>
        </is>
      </c>
      <c r="G23" s="56" t="inlineStr">
        <is>
          <t>F</t>
        </is>
      </c>
      <c r="H23" s="56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3" s="56" t="inlineStr">
        <is>
          <t>TA supports allocated roles and captures the weekly log; off-site checklist confirmed before leaving site every time.</t>
        </is>
      </c>
      <c r="J23" s="56" t="n"/>
    </row>
    <row r="24" ht="45.75" customHeight="1" s="42">
      <c r="A24" s="54" t="inlineStr">
        <is>
          <t>Slot 6 · Community B — Junior/Young Duke + Social Enterprise</t>
        </is>
      </c>
      <c r="B24" s="56" t="inlineStr">
        <is>
          <t>Junior/Young Duke (Capable Kids) challenge levels + community &amp; social enterprise action · AQA UAS “Personal challenge”.</t>
        </is>
      </c>
      <c r="C24" s="56" t="inlineStr">
        <is>
          <t>I can complete a simple cookery challenge (skills practice — no FoodWise claim).</t>
        </is>
      </c>
      <c r="D24" s="56" t="inlineStr">
        <is>
          <t>Simple cookery challenge from the booklet — deliberately separate from FoodWise M1 so no double-claiming.</t>
        </is>
      </c>
      <c r="E24" s="56" t="inlineStr">
        <is>
          <t>challenge, pledge, evidence, resilience, kindness, independence</t>
        </is>
      </c>
      <c r="F24" s="56" t="inlineStr">
        <is>
          <t>Junior/Young Duke booklets (first aid, cookery, eco, independence challenges); challenge log; camera/tablet. SMSC anchors: Anti-Bullying Week 16–20 Nov, World Kindness Day 13 Nov.</t>
        </is>
      </c>
      <c r="G24" s="56" t="inlineStr">
        <is>
          <t>F</t>
        </is>
      </c>
      <c r="H24" s="56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4" s="56" t="inlineStr">
        <is>
          <t>TA witnesses and photographs each challenge attempt; tutor signs off only genuinely met challenges; pledge wall kept current.</t>
        </is>
      </c>
      <c r="J24" s="56" t="n"/>
    </row>
    <row r="26" ht="18" customHeight="1" s="42">
      <c r="A26" s="61" t="inlineStr">
        <is>
          <t>Enrichment &amp; wider opportunities this week   (trips, visitors, themed days, SMSC calendar link, PfA / community)</t>
        </is>
      </c>
    </row>
    <row r="27" ht="39.75" customHeight="1" s="42">
      <c r="A27" s="62" t="inlineStr">
        <is>
          <t>Whole-school BV/KCSIE assembly series continues.  Festivals-of-Light display launches (RE).  PfA / community: local walk or community-access visit.  AHEAD: International Day of Peace Mon 21 Sep.</t>
        </is>
      </c>
      <c r="B27" s="63" t="n"/>
      <c r="C27" s="63" t="n"/>
      <c r="D27" s="63" t="n"/>
      <c r="E27" s="63" t="n"/>
      <c r="F27" s="63" t="n"/>
      <c r="G27" s="63" t="n"/>
      <c r="H27" s="63" t="n"/>
      <c r="I27" s="63" t="n"/>
      <c r="J27" s="64" t="n"/>
    </row>
    <row r="28" ht="18" customHeight="1" s="42">
      <c r="A28" s="61" t="inlineStr">
        <is>
          <t>Resources &amp; support to prepare before the week   (printing, kit, bookings, briefing the team)</t>
        </is>
      </c>
    </row>
    <row r="29" ht="39.75" customHeight="1" s="42">
      <c r="A29" s="65" t="inlineStr">
        <is>
          <t>Print/prepare: word-detective extracts + magnifiers, menu &amp; job cards + base-ten, small-to-big cards + organ cards (resus dummy booked), ballot box/booth + slips, Diwali kit (LED diyas, sand/rice + NAMED pattern guides, clay, mehndi sheets), reason cards + arrow strips + Teesside then/now photos, plan pages + texture cards.  Brief TAs: darkened room for RE arrival — warn Pupil B of the change in advance.</t>
        </is>
      </c>
      <c r="B29" s="63" t="n"/>
      <c r="C29" s="63" t="n"/>
      <c r="D29" s="63" t="n"/>
      <c r="E29" s="63" t="n"/>
      <c r="F29" s="63" t="n"/>
      <c r="G29" s="63" t="n"/>
      <c r="H29" s="63" t="n"/>
      <c r="I29" s="63" t="n"/>
      <c r="J29" s="64" t="n"/>
    </row>
    <row r="30" ht="18" customHeight="1" s="42">
      <c r="A30" s="66" t="inlineStr">
        <is>
          <t xml:space="preserve">F = formative  ·  S = summative  ·  PfA = Preparing for Adulthood  </t>
        </is>
      </c>
    </row>
  </sheetData>
  <mergeCells count="9">
    <mergeCell ref="A1:J1"/>
    <mergeCell ref="A8:J8"/>
    <mergeCell ref="B6:D6"/>
    <mergeCell ref="A27:J27"/>
    <mergeCell ref="A30:J30"/>
    <mergeCell ref="A29:J29"/>
    <mergeCell ref="A26:J26"/>
    <mergeCell ref="A2:J2"/>
    <mergeCell ref="A28:J28"/>
  </mergeCells>
  <dataValidations count="4">
    <dataValidation sqref="B4" showDropDown="0" showInputMessage="0" showErrorMessage="0" allowBlank="1" errorTitle="Choose from the list" error="Pick a value from the list." type="list" errorStyle="stop" operator="between">
      <formula1>"BUILD,GROW,LAUNCH"</formula1>
      <formula2>0</formula2>
    </dataValidation>
    <dataValidation sqref="B5" showDropDown="0" showInputMessage="0" showErrorMessage="0" allowBlank="1" errorTitle="Choose from the list" error="Pick a value from the list." type="list" errorStyle="stop" operator="between">
      <formula1>"Autumn,Spring,Summer"</formula1>
      <formula2>0</formula2>
    </dataValidation>
    <dataValidation sqref="A10:A18" showDropDown="0" showInputMessage="0" showErrorMessage="0" allowBlank="1" errorTitle="Choose from the list" error="Pick a value from the list." type="list" errorStyle="stop" operator="between">
      <formula1>"English,Maths,Science,PSHE / RSE,RE,Humanities,Arts (Arts Award),PE,Careers / Vocational (ASDAN),Computing / Digital,Personal Development / PfA"</formula1>
      <formula2>0</formula2>
    </dataValidation>
    <dataValidation sqref="G10:G18" showDropDown="0" showInputMessage="0" showErrorMessage="0" allowBlank="1" errorTitle="Choose from the list" error="Pick a value from the list." type="list" errorStyle="stop" operator="between">
      <formula1>"F,S,F + 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D6006E"/>
    <outlinePr summaryBelow="1" summaryRight="1"/>
    <pageSetUpPr fitToPage="0"/>
  </sheetPr>
  <dimension ref="A1:I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10" activeCellId="0" sqref="D10"/>
    </sheetView>
  </sheetViews>
  <sheetFormatPr baseColWidth="8" defaultColWidth="8.5625" defaultRowHeight="14.25" zeroHeight="0" outlineLevelRow="0"/>
  <cols>
    <col width="16" customWidth="1" style="41" min="1" max="1"/>
    <col width="11" customWidth="1" style="41" min="2" max="2"/>
    <col width="10" customWidth="1" style="41" min="3" max="3"/>
    <col width="15" customWidth="1" style="41" min="4" max="4"/>
    <col width="26" customWidth="1" style="41" min="5" max="5"/>
    <col width="36" customWidth="1" style="41" min="6" max="7"/>
    <col width="22" customWidth="1" style="41" min="8" max="8"/>
    <col width="26" customWidth="1" style="41" min="9" max="9"/>
  </cols>
  <sheetData>
    <row r="1" ht="25.5" customHeight="1" s="42">
      <c r="A1" s="67" t="inlineStr">
        <is>
          <t>Student Adaptations</t>
        </is>
      </c>
    </row>
    <row r="2" ht="14.25" customHeight="1" s="42">
      <c r="A2" s="44" t="n"/>
    </row>
    <row r="4" ht="27.75" customHeight="1" s="42">
      <c r="A4" s="53" t="inlineStr">
        <is>
          <t>Name</t>
        </is>
      </c>
      <c r="B4" s="53" t="inlineStr">
        <is>
          <t>Pathway</t>
        </is>
      </c>
      <c r="C4" s="53" t="inlineStr">
        <is>
          <t>Year / KS</t>
        </is>
      </c>
      <c r="D4" s="53" t="inlineStr">
        <is>
          <t>Reading age band</t>
        </is>
      </c>
      <c r="E4" s="53" t="inlineStr">
        <is>
          <t>Communication / sensory needs</t>
        </is>
      </c>
      <c r="F4" s="53" t="inlineStr">
        <is>
          <t>Key scaffolds &amp; adaptations</t>
        </is>
      </c>
      <c r="G4" s="53" t="inlineStr">
        <is>
          <t>EHCP primary outcomes</t>
        </is>
      </c>
      <c r="H4" s="53" t="inlineStr">
        <is>
          <t>PfA focus</t>
        </is>
      </c>
      <c r="I4" s="53" t="inlineStr">
        <is>
          <t>Notes</t>
        </is>
      </c>
    </row>
    <row r="5" ht="174.75" customHeight="1" s="42">
      <c r="A5" s="54" t="inlineStr">
        <is>
          <t>Pupil A</t>
        </is>
      </c>
      <c r="B5" s="56" t="inlineStr">
        <is>
          <t>BUILD</t>
        </is>
      </c>
      <c r="C5" s="56" t="inlineStr">
        <is>
          <t>KS4</t>
        </is>
      </c>
      <c r="D5" s="68" t="n"/>
      <c r="E5" s="68" t="n"/>
      <c r="F5" s="68" t="n"/>
      <c r="G5" s="68" t="n"/>
      <c r="H5" s="68" t="n"/>
      <c r="I5" s="68" t="n"/>
    </row>
    <row r="6" ht="174.75" customHeight="1" s="42">
      <c r="A6" s="54" t="inlineStr">
        <is>
          <t>Pupil B</t>
        </is>
      </c>
      <c r="B6" s="56" t="inlineStr">
        <is>
          <t>BUILD</t>
        </is>
      </c>
      <c r="C6" s="56" t="inlineStr">
        <is>
          <t>KS4</t>
        </is>
      </c>
      <c r="D6" s="68" t="n"/>
      <c r="E6" s="68" t="n"/>
      <c r="F6" s="68" t="n"/>
      <c r="G6" s="68" t="n"/>
      <c r="H6" s="68" t="n"/>
      <c r="I6" s="68" t="n"/>
    </row>
    <row r="7" ht="174.75" customHeight="1" s="42">
      <c r="A7" s="54" t="inlineStr">
        <is>
          <t>Pupil C</t>
        </is>
      </c>
      <c r="B7" s="56" t="inlineStr">
        <is>
          <t>BUILD</t>
        </is>
      </c>
      <c r="C7" s="56" t="inlineStr">
        <is>
          <t>KS4</t>
        </is>
      </c>
      <c r="D7" s="68" t="n"/>
      <c r="E7" s="68" t="n"/>
      <c r="F7" s="68" t="n"/>
      <c r="G7" s="68" t="n"/>
      <c r="H7" s="68" t="n"/>
      <c r="I7" s="68" t="n"/>
    </row>
    <row r="8" ht="174.75" customHeight="1" s="42">
      <c r="A8" s="54" t="inlineStr">
        <is>
          <t>Pupil D</t>
        </is>
      </c>
      <c r="B8" s="56" t="inlineStr">
        <is>
          <t>BUILD</t>
        </is>
      </c>
      <c r="C8" s="56" t="inlineStr">
        <is>
          <t>KS4</t>
        </is>
      </c>
      <c r="D8" s="68" t="n"/>
      <c r="E8" s="68" t="n"/>
      <c r="F8" s="68" t="n"/>
      <c r="G8" s="68" t="n"/>
      <c r="H8" s="68" t="n"/>
      <c r="I8" s="68" t="n"/>
    </row>
    <row r="9" ht="30" customHeight="1" s="42">
      <c r="A9" s="69" t="n"/>
      <c r="B9" s="69" t="n"/>
      <c r="C9" s="69" t="n"/>
      <c r="D9" s="69" t="n"/>
      <c r="E9" s="69" t="n"/>
      <c r="F9" s="69" t="n"/>
      <c r="G9" s="69" t="n"/>
      <c r="H9" s="69" t="n"/>
      <c r="I9" s="69" t="n"/>
    </row>
    <row r="10" ht="30" customHeight="1" s="42">
      <c r="A10" s="70" t="n"/>
      <c r="B10" s="70" t="n"/>
      <c r="C10" s="70" t="n"/>
      <c r="D10" s="70" t="n"/>
      <c r="E10" s="70" t="n"/>
      <c r="F10" s="70" t="n"/>
      <c r="G10" s="70" t="n"/>
      <c r="H10" s="70" t="n"/>
      <c r="I10" s="70" t="n"/>
    </row>
    <row r="11" ht="30" customHeight="1" s="42">
      <c r="A11" s="69" t="n"/>
      <c r="B11" s="69" t="n"/>
      <c r="C11" s="69" t="n"/>
      <c r="D11" s="69" t="n"/>
      <c r="E11" s="69" t="n"/>
      <c r="F11" s="69" t="n"/>
      <c r="G11" s="69" t="n"/>
      <c r="H11" s="69" t="n"/>
      <c r="I11" s="69" t="n"/>
    </row>
    <row r="12" ht="30" customHeight="1" s="42">
      <c r="A12" s="70" t="n"/>
      <c r="B12" s="70" t="n"/>
      <c r="C12" s="70" t="n"/>
      <c r="D12" s="70" t="n"/>
      <c r="E12" s="70" t="n"/>
      <c r="F12" s="70" t="n"/>
      <c r="G12" s="70" t="n"/>
      <c r="H12" s="70" t="n"/>
      <c r="I12" s="70" t="n"/>
    </row>
    <row r="13" ht="30" customHeight="1" s="42">
      <c r="A13" s="69" t="n"/>
      <c r="B13" s="69" t="n"/>
      <c r="C13" s="69" t="n"/>
      <c r="D13" s="69" t="n"/>
      <c r="E13" s="69" t="n"/>
      <c r="F13" s="69" t="n"/>
      <c r="G13" s="69" t="n"/>
      <c r="H13" s="69" t="n"/>
      <c r="I13" s="69" t="n"/>
    </row>
    <row r="14" ht="30" customHeight="1" s="42">
      <c r="A14" s="70" t="n"/>
      <c r="B14" s="70" t="n"/>
      <c r="C14" s="70" t="n"/>
      <c r="D14" s="70" t="n"/>
      <c r="E14" s="70" t="n"/>
      <c r="F14" s="70" t="n"/>
      <c r="G14" s="70" t="n"/>
      <c r="H14" s="70" t="n"/>
      <c r="I14" s="70" t="n"/>
    </row>
    <row r="15" ht="30" customHeight="1" s="42">
      <c r="A15" s="69" t="n"/>
      <c r="B15" s="69" t="n"/>
      <c r="C15" s="69" t="n"/>
      <c r="D15" s="69" t="n"/>
      <c r="E15" s="69" t="n"/>
      <c r="F15" s="69" t="n"/>
      <c r="G15" s="69" t="n"/>
      <c r="H15" s="69" t="n"/>
      <c r="I15" s="69" t="n"/>
    </row>
    <row r="16" ht="30" customHeight="1" s="42">
      <c r="A16" s="70" t="n"/>
      <c r="B16" s="70" t="n"/>
      <c r="C16" s="70" t="n"/>
      <c r="D16" s="70" t="n"/>
      <c r="E16" s="70" t="n"/>
      <c r="F16" s="70" t="n"/>
      <c r="G16" s="70" t="n"/>
      <c r="H16" s="70" t="n"/>
      <c r="I16" s="70" t="n"/>
    </row>
    <row r="17" ht="30" customHeight="1" s="42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</row>
    <row r="18" ht="30" customHeight="1" s="42">
      <c r="A18" s="70" t="n"/>
      <c r="B18" s="70" t="n"/>
      <c r="C18" s="70" t="n"/>
      <c r="D18" s="70" t="n"/>
      <c r="E18" s="70" t="n"/>
      <c r="F18" s="70" t="n"/>
      <c r="G18" s="70" t="n"/>
      <c r="H18" s="70" t="n"/>
      <c r="I18" s="70" t="n"/>
    </row>
    <row r="19" ht="30" customHeight="1" s="42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</row>
  </sheetData>
  <mergeCells count="2">
    <mergeCell ref="A1:I1"/>
    <mergeCell ref="A2:I2"/>
  </mergeCells>
  <conditionalFormatting sqref="B5:B19">
    <cfRule type="cellIs" rank="0" priority="2" equalAverage="0" operator="equal" aboveAverage="0" dxfId="0" text="" percent="0" bottom="0">
      <formula>"BUILD"</formula>
    </cfRule>
    <cfRule type="cellIs" rank="0" priority="3" equalAverage="0" operator="equal" aboveAverage="0" dxfId="1" text="" percent="0" bottom="0">
      <formula>"GROW"</formula>
    </cfRule>
    <cfRule type="cellIs" rank="0" priority="4" equalAverage="0" operator="equal" aboveAverage="0" dxfId="2" text="" percent="0" bottom="0">
      <formula>"LAUNCH"</formula>
    </cfRule>
  </conditionalFormatting>
  <dataValidations count="1">
    <dataValidation sqref="B5:B19" showDropDown="0" showInputMessage="0" showErrorMessage="0" allowBlank="1" errorTitle="Choose from the list" error="Pick a value from the list." type="list" errorStyle="stop" operator="between">
      <formula1>"BUILD,GROW,LAUNCH"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D6006E"/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D7" activeCellId="0" sqref="D7"/>
    </sheetView>
  </sheetViews>
  <sheetFormatPr baseColWidth="8" defaultColWidth="8.5625" defaultRowHeight="14.25" zeroHeight="0" outlineLevelRow="0"/>
  <cols>
    <col width="12" customWidth="1" style="41" min="1" max="1"/>
    <col width="11" customWidth="1" style="41" min="2" max="2"/>
    <col width="16" customWidth="1" style="41" min="3" max="3"/>
    <col width="28" customWidth="1" style="41" min="4" max="4"/>
    <col width="24" customWidth="1" style="41" min="5" max="5"/>
    <col width="9" customWidth="1" style="41" min="6" max="6"/>
    <col width="24" customWidth="1" style="41" min="7" max="7"/>
    <col width="18" customWidth="1" style="41" min="8" max="8"/>
    <col width="26" customWidth="1" style="41" min="9" max="9"/>
  </cols>
  <sheetData>
    <row r="1" ht="25.5" customHeight="1" s="42">
      <c r="A1" s="71" t="inlineStr">
        <is>
          <t xml:space="preserve">Outcome Tracker </t>
        </is>
      </c>
    </row>
    <row r="2" ht="14.25" customHeight="1" s="42">
      <c r="A2" s="72" t="inlineStr">
        <is>
          <t xml:space="preserve">Did everyone make progress and meet the outcome? </t>
        </is>
      </c>
    </row>
    <row r="3" ht="18" customHeight="1" s="42">
      <c r="A3" s="73" t="inlineStr">
        <is>
          <t>GREEN</t>
        </is>
      </c>
      <c r="B3" s="74" t="inlineStr">
        <is>
          <t>All demonstrated progress &amp; achieved the outcome</t>
        </is>
      </c>
      <c r="D3" s="75" t="inlineStr">
        <is>
          <t>AMBER</t>
        </is>
      </c>
      <c r="E3" s="74" t="inlineStr">
        <is>
          <t>Partly met, revisit in class</t>
        </is>
      </c>
      <c r="G3" s="76" t="inlineStr">
        <is>
          <t>RED</t>
        </is>
      </c>
      <c r="H3" s="74" t="inlineStr">
        <is>
          <t>Not met, pick up through intervention</t>
        </is>
      </c>
    </row>
    <row r="4"/>
    <row r="5" ht="27.75" customHeight="1" s="42">
      <c r="A5" s="53" t="inlineStr">
        <is>
          <t>Week (w/c)</t>
        </is>
      </c>
      <c r="B5" s="53" t="inlineStr">
        <is>
          <t>Pathway</t>
        </is>
      </c>
      <c r="C5" s="53" t="inlineStr">
        <is>
          <t>Subject</t>
        </is>
      </c>
      <c r="D5" s="53" t="inlineStr">
        <is>
          <t>Outcome reviewed</t>
        </is>
      </c>
      <c r="E5" s="53" t="inlineStr">
        <is>
          <t>Marking / evidence</t>
        </is>
      </c>
      <c r="F5" s="53" t="inlineStr">
        <is>
          <t>RAG</t>
        </is>
      </c>
      <c r="G5" s="53" t="inlineStr">
        <is>
          <t>Students not yet secure</t>
        </is>
      </c>
      <c r="H5" s="53" t="inlineStr">
        <is>
          <t>Picked up via</t>
        </is>
      </c>
      <c r="I5" s="53" t="inlineStr">
        <is>
          <t>Action &amp; timescale</t>
        </is>
      </c>
    </row>
    <row r="6" ht="30" customHeight="1" s="42">
      <c r="A6" s="77" t="n">
        <v>46279</v>
      </c>
      <c r="B6" s="70" t="inlineStr">
        <is>
          <t>BUILD</t>
        </is>
      </c>
      <c r="C6" s="70" t="inlineStr">
        <is>
          <t>English</t>
        </is>
      </c>
      <c r="D6" s="55" t="inlineStr">
        <is>
          <t>Students sorted skills and qualities and linked at least two to workplace examples.</t>
        </is>
      </c>
      <c r="E6" s="70" t="n"/>
      <c r="F6" s="70" t="n"/>
      <c r="G6" s="70" t="n"/>
      <c r="H6" s="70" t="n"/>
      <c r="I6" s="70" t="n"/>
    </row>
    <row r="7" ht="30" customHeight="1" s="42">
      <c r="A7" s="77" t="n">
        <v>46279</v>
      </c>
      <c r="B7" s="56" t="inlineStr">
        <is>
          <t>BUILD</t>
        </is>
      </c>
      <c r="C7" s="70" t="inlineStr">
        <is>
          <t>Maths</t>
        </is>
      </c>
      <c r="D7" s="59" t="inlineStr">
        <is>
          <t>I can recognise, compare and use negative numbers in real-life situations and count forwards and backwards through zero.</t>
        </is>
      </c>
      <c r="E7" s="70" t="n"/>
      <c r="F7" s="70" t="n"/>
      <c r="G7" s="70" t="n"/>
      <c r="H7" s="70" t="n"/>
      <c r="I7" s="70" t="n"/>
    </row>
    <row r="8" ht="30" customHeight="1" s="42">
      <c r="A8" s="77" t="n">
        <v>46279</v>
      </c>
      <c r="B8" s="56" t="inlineStr">
        <is>
          <t>BUILD</t>
        </is>
      </c>
      <c r="C8" s="56" t="inlineStr">
        <is>
          <t>Science</t>
        </is>
      </c>
      <c r="D8" s="56" t="inlineStr">
        <is>
          <t>I can sort animals into those with a backbone and those without.</t>
        </is>
      </c>
      <c r="E8" s="56" t="n"/>
      <c r="F8" s="56" t="n"/>
      <c r="G8" s="56" t="n"/>
      <c r="H8" s="56" t="n"/>
      <c r="I8" s="56" t="n"/>
    </row>
    <row r="9" ht="30" customHeight="1" s="42">
      <c r="A9" s="77" t="n">
        <v>46279</v>
      </c>
      <c r="B9" s="56" t="inlineStr">
        <is>
          <t>BUILD</t>
        </is>
      </c>
      <c r="C9" s="56" t="inlineStr">
        <is>
          <t>PSHE / RSE</t>
        </is>
      </c>
      <c r="D9" s="56" t="inlineStr">
        <is>
          <t>I can take part in a fair class vote.</t>
        </is>
      </c>
      <c r="E9" s="56" t="n"/>
      <c r="F9" s="56" t="n"/>
      <c r="G9" s="56" t="n"/>
      <c r="H9" s="56" t="n"/>
      <c r="I9" s="56" t="n"/>
    </row>
    <row r="10" ht="30" customHeight="1" s="42">
      <c r="A10" s="77" t="n">
        <v>46279</v>
      </c>
      <c r="B10" s="56" t="inlineStr">
        <is>
          <t>BUILD</t>
        </is>
      </c>
      <c r="C10" s="56" t="inlineStr">
        <is>
          <t>Humanities</t>
        </is>
      </c>
      <c r="D10" s="56" t="inlineStr">
        <is>
          <t>I can give one reason people came to Britain and one thing that changed.</t>
        </is>
      </c>
      <c r="E10" s="56" t="n"/>
      <c r="F10" s="56" t="n"/>
      <c r="G10" s="56" t="n"/>
      <c r="H10" s="56" t="n"/>
      <c r="I10" s="56" t="n"/>
    </row>
    <row r="11" ht="30" customHeight="1" s="42">
      <c r="A11" s="77" t="n">
        <v>46279</v>
      </c>
      <c r="B11" s="56" t="inlineStr">
        <is>
          <t>BUILD</t>
        </is>
      </c>
      <c r="C11" s="56" t="inlineStr">
        <is>
          <t>Arts (Arts Award)</t>
        </is>
      </c>
      <c r="D11" s="56" t="inlineStr">
        <is>
          <t>I can plan my identity artwork and choose my materials.</t>
        </is>
      </c>
      <c r="E11" s="56" t="n"/>
      <c r="F11" s="56" t="n"/>
      <c r="G11" s="56" t="n"/>
      <c r="H11" s="56" t="n"/>
      <c r="I11" s="56" t="n"/>
    </row>
    <row r="12" ht="30" customHeight="1" s="42">
      <c r="A12" s="77" t="n">
        <v>46279</v>
      </c>
      <c r="B12" s="56" t="inlineStr">
        <is>
          <t>BUILD</t>
        </is>
      </c>
      <c r="C12" s="69" t="inlineStr">
        <is>
          <t>RE</t>
        </is>
      </c>
      <c r="D12" s="60" t="inlineStr">
        <is>
          <t>I can say what Diwali celebrates and join in respectfully.</t>
        </is>
      </c>
      <c r="E12" s="69" t="n"/>
      <c r="F12" s="69" t="n"/>
      <c r="G12" s="69" t="n"/>
      <c r="H12" s="69" t="n"/>
      <c r="I12" s="69" t="n"/>
    </row>
    <row r="13" ht="30" customHeight="1" s="42">
      <c r="A13" s="78" t="n">
        <v>46279</v>
      </c>
      <c r="B13" s="69" t="inlineStr">
        <is>
          <t>BUILD</t>
        </is>
      </c>
      <c r="C13" s="69" t="inlineStr">
        <is>
          <t>ASDAN PEQ (WellbLeE3)</t>
        </is>
      </c>
      <c r="D13" s="69" t="inlineStr">
        <is>
          <t>I can say what wellbeing in learning means for me.</t>
        </is>
      </c>
      <c r="E13" s="69" t="inlineStr">
        <is>
          <t>PEQ portfolio: photos + scribed voice + witness statements</t>
        </is>
      </c>
      <c r="F13" s="69" t="n"/>
      <c r="G13" s="69" t="n"/>
      <c r="H13" s="69" t="n"/>
      <c r="I13" s="69" t="n"/>
    </row>
    <row r="14" ht="30" customHeight="1" s="42">
      <c r="A14" s="79" t="n">
        <v>46279</v>
      </c>
      <c r="B14" s="70" t="inlineStr">
        <is>
          <t>BUILD</t>
        </is>
      </c>
      <c r="C14" s="70" t="inlineStr">
        <is>
          <t>PfA — ASDAN LI</t>
        </is>
      </c>
      <c r="D14" s="70" t="inlineStr">
        <is>
          <t>Ways to pay: I can name cash, card, contactless and online — and use each safely.</t>
        </is>
      </c>
      <c r="E14" s="70" t="inlineStr">
        <is>
          <t>LI portfolio: challenge evidence + skills grid</t>
        </is>
      </c>
      <c r="F14" s="70" t="n"/>
      <c r="G14" s="70" t="n"/>
      <c r="H14" s="70" t="n"/>
      <c r="I14" s="70" t="n"/>
    </row>
    <row r="15" ht="25.5" customHeight="1" s="42">
      <c r="A15" s="78" t="n">
        <v>46279</v>
      </c>
      <c r="B15" s="69" t="inlineStr">
        <is>
          <t>BUILD</t>
        </is>
      </c>
      <c r="C15" s="69" t="inlineStr">
        <is>
          <t>PfA — ASDAN FoodWise</t>
        </is>
      </c>
      <c r="D15" s="69" t="inlineStr">
        <is>
          <t>Traffic-light labels: I can read packaging for sugar, fat and salt and compare two products.</t>
        </is>
      </c>
      <c r="E15" s="69" t="inlineStr">
        <is>
          <t>FoodWise portfolio: challenge evidence + photos</t>
        </is>
      </c>
      <c r="F15" s="69" t="n"/>
      <c r="G15" s="69" t="n"/>
      <c r="H15" s="69" t="n"/>
      <c r="I15" s="69" t="n"/>
    </row>
    <row r="16" ht="25.5" customHeight="1" s="42">
      <c r="A16" s="70" t="n"/>
      <c r="B16" s="70" t="n"/>
      <c r="C16" s="70" t="n"/>
      <c r="D16" s="70" t="n"/>
      <c r="E16" s="70" t="n"/>
      <c r="F16" s="70" t="n"/>
      <c r="G16" s="70" t="n"/>
      <c r="H16" s="70" t="n"/>
      <c r="I16" s="70" t="n"/>
    </row>
    <row r="17" ht="25.5" customHeight="1" s="42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</row>
    <row r="18" ht="25.5" customHeight="1" s="42">
      <c r="A18" s="70" t="n"/>
      <c r="B18" s="70" t="n"/>
      <c r="C18" s="70" t="n"/>
      <c r="D18" s="70" t="n"/>
      <c r="E18" s="70" t="n"/>
      <c r="F18" s="70" t="n"/>
      <c r="G18" s="70" t="n"/>
      <c r="H18" s="70" t="n"/>
      <c r="I18" s="70" t="n"/>
    </row>
    <row r="19" ht="25.5" customHeight="1" s="42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</row>
    <row r="20" ht="25.5" customHeight="1" s="42">
      <c r="A20" s="70" t="n"/>
      <c r="B20" s="70" t="n"/>
      <c r="C20" s="70" t="n"/>
      <c r="D20" s="70" t="n"/>
      <c r="E20" s="70" t="n"/>
      <c r="F20" s="70" t="n"/>
      <c r="G20" s="70" t="n"/>
      <c r="H20" s="70" t="n"/>
      <c r="I20" s="70" t="n"/>
    </row>
    <row r="21" ht="25.5" customHeight="1" s="42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</row>
    <row r="22" ht="25.5" customHeight="1" s="42"/>
    <row r="23" ht="25.5" customHeight="1" s="42">
      <c r="C23" s="80" t="inlineStr">
        <is>
          <t>This sheet:</t>
        </is>
      </c>
      <c r="D23" s="81">
        <f>COUNTIF($F$8:$F$18,"Green")</f>
        <v/>
      </c>
      <c r="E23" s="82">
        <f>COUNTIF($F$8:$F$18,"Amber")</f>
        <v/>
      </c>
      <c r="F23" s="83">
        <f>COUNTIF($F$8:$F$18,"Red")</f>
        <v/>
      </c>
    </row>
    <row r="24" ht="25.5" customHeight="1" s="42">
      <c r="D24" s="84" t="inlineStr">
        <is>
          <t>Green</t>
        </is>
      </c>
      <c r="E24" s="84" t="inlineStr">
        <is>
          <t>Amber</t>
        </is>
      </c>
      <c r="F24" s="84" t="inlineStr">
        <is>
          <t>Red</t>
        </is>
      </c>
    </row>
    <row r="25" ht="25.5" customHeight="1" s="42"/>
    <row r="26" ht="25.5" customHeight="1" s="42"/>
  </sheetData>
  <mergeCells count="5">
    <mergeCell ref="A2:I2"/>
    <mergeCell ref="B3:C3"/>
    <mergeCell ref="A1:I1"/>
    <mergeCell ref="E3:F3"/>
    <mergeCell ref="H3:I3"/>
  </mergeCells>
  <conditionalFormatting sqref="F6:F26">
    <cfRule type="cellIs" rank="0" priority="2" equalAverage="0" operator="equal" aboveAverage="0" dxfId="0" text="" percent="0" bottom="0">
      <formula>"Green"</formula>
    </cfRule>
    <cfRule type="cellIs" rank="0" priority="3" equalAverage="0" operator="equal" aboveAverage="0" dxfId="3" text="" percent="0" bottom="0">
      <formula>"Amber"</formula>
    </cfRule>
    <cfRule type="cellIs" rank="0" priority="4" equalAverage="0" operator="equal" aboveAverage="0" dxfId="4" text="" percent="0" bottom="0">
      <formula>"Red"</formula>
    </cfRule>
  </conditionalFormatting>
  <dataValidations count="4">
    <dataValidation sqref="B6:B26" showDropDown="0" showInputMessage="0" showErrorMessage="0" allowBlank="1" errorTitle="Choose from the list" error="Pick a value from the list." type="list" errorStyle="stop" operator="between">
      <formula1>"BUILD,GROW,LAUNCH"</formula1>
      <formula2>0</formula2>
    </dataValidation>
    <dataValidation sqref="C6:C26" showDropDown="0" showInputMessage="0" showErrorMessage="0" allowBlank="1" errorTitle="Choose from the list" error="Pick a value from the list." type="list" errorStyle="stop" operator="between">
      <formula1>"English,Maths,Science,PSHE / RSE,RE,Humanities,Arts (Arts Award),PE,Careers / Vocational (ASDAN),Computing / Digital,Personal Development / PfA"</formula1>
      <formula2>0</formula2>
    </dataValidation>
    <dataValidation sqref="F6:F26" showDropDown="0" showInputMessage="0" showErrorMessage="0" allowBlank="1" errorTitle="Choose from the list" error="Pick a value from the list." type="list" errorStyle="stop" operator="between">
      <formula1>"Green,Amber,Red"</formula1>
      <formula2>0</formula2>
    </dataValidation>
    <dataValidation sqref="H6:H26" showDropDown="0" showInputMessage="0" showErrorMessage="0" allowBlank="1" errorTitle="Choose from the list" error="Pick a value from the list." type="list" errorStyle="stop" operator="between">
      <formula1>"Achieved (move on),Revisit in class,Intervention"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2026-06-22T07:46:21Z</dcterms:created>
  <dcterms:modified xsi:type="dcterms:W3CDTF">2026-07-29T16:31:01Z</dcterms:modified>
  <cp:lastModifiedBy>Helen Stewart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0x0101002C6E38C4B2056147BFEE88C7F682B392</vt:lpwstr>
  </property>
  <property name="MediaServiceImageTags" fmtid="{D5CDD505-2E9C-101B-9397-08002B2CF9AE}" pid="3">
    <vt:lpwstr/>
  </property>
</Properties>
</file>