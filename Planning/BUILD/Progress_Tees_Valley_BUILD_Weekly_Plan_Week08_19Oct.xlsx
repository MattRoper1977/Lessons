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Weekly Plan" sheetId="1" state="visible" r:id="rId3"/>
    <sheet name="Students" sheetId="2" state="visible" r:id="rId4"/>
    <sheet name="Outcomes RA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<sst xmlns="http://schemas.openxmlformats.org/spreadsheetml/2006/main" count="238" uniqueCount="189">
  <si>
    <t xml:space="preserve">Weekly Planner - To be submitted to Head of School prior to the start of each Half-Term</t>
  </si>
  <si>
    <t xml:space="preserve">Progress Schools  ·  linked to the 2026/27 Schemes of Work</t>
  </si>
  <si>
    <t xml:space="preserve">Pathway</t>
  </si>
  <si>
    <t xml:space="preserve">BUILD</t>
  </si>
  <si>
    <t xml:space="preserve">Week no.</t>
  </si>
  <si>
    <t xml:space="preserve">Term</t>
  </si>
  <si>
    <t xml:space="preserve">Autumn</t>
  </si>
  <si>
    <t xml:space="preserve">Group / class</t>
  </si>
  <si>
    <t xml:space="preserve">Theme</t>
  </si>
  <si>
    <t xml:space="preserve">Teacher</t>
  </si>
  <si>
    <t xml:space="preserve">Week commencing</t>
  </si>
  <si>
    <t xml:space="preserve">Reviewed by</t>
  </si>
  <si>
    <t xml:space="preserve">SMSC/BV this week: Black History Month culminates (half-term Fri 23 Oct) — fold the celebration into Build's community action and the Festivals-of-Light showcase.  EVIDENCE: showcase + impact-wall photos + evidence platform: cultural; complete this half-term's rows in the SMSC Evidence Tracker.</t>
  </si>
  <si>
    <t xml:space="preserve">Subject</t>
  </si>
  <si>
    <t xml:space="preserve">SoW unit (this term)</t>
  </si>
  <si>
    <t xml:space="preserve">This week's outcome</t>
  </si>
  <si>
    <t xml:space="preserve">Activities</t>
  </si>
  <si>
    <t xml:space="preserve">Key vocabulary</t>
  </si>
  <si>
    <t xml:space="preserve">Resources required</t>
  </si>
  <si>
    <t xml:space="preserve">Assess. (F/S)</t>
  </si>
  <si>
    <t xml:space="preserve">Student adaptations</t>
  </si>
  <si>
    <t xml:space="preserve">Classroom support</t>
  </si>
  <si>
    <t xml:space="preserve">Evaluation (after teaching)</t>
  </si>
  <si>
    <t xml:space="preserve">English</t>
  </si>
  <si>
    <t xml:space="preserve">Identity and Belonging: feedback, catch-up and next steps. Students review their work from the half-term, complete missing evidence and set one practical English/employability goal.</t>
  </si>
  <si>
    <t xml:space="preserve">I can look back at my English work, improve one piece, and set a clear goal for next half-term.</t>
  </si>
  <si>
    <t xml:space="preserve">Arrival task: “What have I improved?” confidence check → teacher feedback on completed work → students choose one catch-up or improvement task → improve one piece of writing/reading evidence → complete missing work where needed → goal-setting sheet: one strength, one area to improve, one next step → short 1:1 review conversation.</t>
  </si>
  <si>
    <t xml:space="preserve">feedback, improve, target, goal, strength, next step, employability, evidence, confidence</t>
  </si>
  <si>
    <t xml:space="preserve">Student folders/books; previous completed work; feedback slips; catch-up task menu; goal-setting sheet; highlighters; coloured paper/overlays; reading pens/laptops where needed.</t>
  </si>
  <si>
    <t xml:space="preserve">F</t>
  </si>
  <si>
    <t xml:space="preserve">Choice of catch-up task; reduced writing option; sentence starters for reflection; tick-box confidence review; scribe/reader where agreed; no cold calling; short 1:1 check-in; movement/regulation breaks.</t>
  </si>
  <si>
    <t xml:space="preserve">TA supports students to locate missing work, understand feedback, complete one improvement and record a realistic goal. Teacher completes brief review notes and identifies students needing further support next half-term.</t>
  </si>
  <si>
    <t xml:space="preserve">To complete after teaching: note who caught up, who improved work, who still has missing evidence, and which goals need to transfer into next half-term planning.</t>
  </si>
  <si>
    <t xml:space="preserve">Maths</t>
  </si>
  <si>
    <t xml:space="preserve">Number, calculation &amp; fractions (Y5/6)</t>
  </si>
  <si>
    <t xml:space="preserve">I can compare and order fractions and convert between improper fractions and mixed numbers.</t>
  </si>
  <si>
    <t xml:space="preserve">Fraction comparison using visual models.
Ordering fractions on number lines.
Conversion practice between mixed numbers and improper fractions.
Real-world fraction problems.
Reasoning and explanation tasks.</t>
  </si>
  <si>
    <t xml:space="preserve">Fraction
Mixed number
Improper fraction
Numerator
Denominator
Compare
Order
Convert</t>
  </si>
  <si>
    <t xml:space="preserve">Fraction strips
Number lines
Worksheets
Interactive whiteboard
Calculators for checking</t>
  </si>
  <si>
    <t xml:space="preserve">S (end-of-unit applied check — observed, not written)</t>
  </si>
  <si>
    <t xml:space="preserve">Visual representations.
Common denominator support.
Scaffolded conversion steps.
Extension with complex fraction comparisons.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</si>
  <si>
    <t xml:space="preserve">Teacher demonstration.
Guided practice.
TA-led intervention groups.</t>
  </si>
  <si>
    <t xml:space="preserve">Fraction comparison task.
Conversion assessment.
Verbal explanation of methods.
End-of-unit check.</t>
  </si>
  <si>
    <t xml:space="preserve">Science</t>
  </si>
  <si>
    <t xml:space="preserve">Animals including humans: skeletons, movement &amp; nutrition (White Rose Science Y3) · Pearson Entry Level Science 8939 intro (supported entry) · ladders toward Grow ELC → GCSE Biology 1BI0 (Launch) · SoW Aut1·W8  [REALIGNED to SoW]</t>
  </si>
  <si>
    <t xml:space="preserve">I can find out something about food and show what I have learned this half-term.</t>
  </si>
  <si>
    <t xml:space="preserve">Hands-on &amp; catch-up-proof: arrival is a 5-question point-and-show recall (bone → job → muscle → pull → food group).  I DO: model the question — 'which snack has the most sugar?' — read the packets together. WE DO: order 4 snacks least → most sugar using the labels. YOU DO: order your own; photograph the line-up; then the tiered consolidation check. EXIT: point to the healthiest snack and say why.  CONSOLIDATION: tiered across skeleton · muscles · nutrition. Poor performance triggers an intervention lesson, never a detention.</t>
  </si>
  <si>
    <t xml:space="preserve">sugar, label, most, least, order, compare, healthy, evidence, choose</t>
  </si>
  <si>
    <t xml:space="preserve">Real snack packets with labels; number line; TIERED CONSOLIDATION CHECK (symbol-supported → sentence-stem → independent); ELC 8939 evidence sheets; RAG grid; camera.</t>
  </si>
  <si>
    <t xml:space="preserve">S</t>
  </si>
  <si>
    <t xml:space="preserve">Tiered 3 ways at every step — scaffold, task version and evidence prompt (symbol-supported → sentence-stem → independent): same outcome, different rung. Hands-on route first; easy-read/symbol resources; chunked steps with modelling; movement built into every session.  Ordering real packets is the assessment — the check is a record of it, not the event itself. Told the format a week ahead; no surprises before an assessed piece.</t>
  </si>
  <si>
    <t xml:space="preserve">TA photographs each pupil's ordered line-up as primary evidence. Teacher frames the check as 'show me what you've got'. Nothing is eaten — allergy and choice both protected. LOOP [Feedback Policy]: Voice = order/point/say [VF, ?] → Audience: say which has most sugar; [R] once received → EVIDENCE: ordered line-up photo + check, upload same day [E: science — daily evidence platform; banks ELC 8939].</t>
  </si>
  <si>
    <t xml:space="preserve">Note who reads the NUMBER on the label vs who guesses from the picture.  → Influence: RAG per strand (skeleton · muscles · nutrition) sets the Aut 2 start and the ELC 8939 taster decision; weak strands become intervention lessons in Aut 2, never detentions [NS].</t>
  </si>
  <si>
    <t xml:space="preserve">PSHE / RSE</t>
  </si>
  <si>
    <t xml:space="preserve">Identity, rights &amp; British values (PSHE Association KS3, adapted) · AQA UAS 'Rights &amp; responsibilities' · ladders toward Grow PSHE · SoW Aut1·W8</t>
  </si>
  <si>
    <t xml:space="preserve">I can take part in our community action and show what changed.</t>
  </si>
  <si>
    <t xml:space="preserve">Zones check-in settles the session.  Do the action for REAL (part 2 of the pitch) → capture before / during / after photos as we go → build the impact wall together: what changed, who noticed, what we'd do differently → each pupil records a 15–30-sec 'what I did' clip — or points to their photo and says one word; every tier counts → celebrate the half-term.  EVIDENCE: impact wall + clips — banks AQA UAS 'Rights &amp; responsibilities'.  GROW STRETCH: 'Going for Grow' card — one thing that worked + one we'd change next time.</t>
  </si>
  <si>
    <t xml:space="preserve">action, impact, before, after, changed, community, proud</t>
  </si>
  <si>
    <t xml:space="preserve">Action kit as pitched (bags/gloves, card kits or bake kit — per the W7 plan); camera throughout; impact wall space; recorder.</t>
  </si>
  <si>
    <t xml:space="preserve">S (AQA UAS 'My feelings' banked)</t>
  </si>
  <si>
    <t xml:space="preserve">Tiered 3 ways at every step — scaffold, task version and evidence prompt (symbol-supported → sentence-stem → independent): same outcome, different rung. Hands-on route first; easy-read/symbol resources; chunked steps with modelling; movement built into every session.  Every role from the W7 board is pre-agreed — no on-the-day negotiation; the clip can be one word + a point; weather backup agreed in advance (Pupil B: change warned early).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</si>
  <si>
    <t xml:space="preserve">All adults work the action alongside pupils and capture evidence live.  LOOP [Feedback Policy]: Voice = do/build/record [VF] → Audience: name the impact back ('the yard IS cleaner — you did that'); [R] once received → EVIDENCE: wall + clips, same day [E: BV/community — daily evidence platform; banks AQA UAS].</t>
  </si>
  <si>
    <t xml:space="preserve">Influence: real impact closes the BV thread — log the whole action in the SMSC tracker; note who evaluates unprompted for Grow-facing Spring targets [NS].</t>
  </si>
  <si>
    <t xml:space="preserve">RE</t>
  </si>
  <si>
    <t xml:space="preserve">Belief, festivals &amp; belonging (Kapow + RE, adapted) · ladders toward Grow RE · SoW Aut1·W8</t>
  </si>
  <si>
    <t xml:space="preserve">I can show one exhibit in our Festivals showcase and say what it means.</t>
  </si>
  <si>
    <t xml:space="preserve">Finale — the Festivals-of-Light showcase: curate the walk-through exhibition from Weeks 3–7's makes, grid and recordings (the poppy cascade as the quiet final room) → rehearse a 1:1 mini-tour with a trusted adult → each pupil presents ONE exhibit to an invited adult — speak, play their clip, or point to the symbols; every tier counts → celebrate.  EVIDENCE: tour clips + exhibition photos — banks the unit's AQA UAS evidence.  GROW STRETCH: 'Going for Grow' card — answer one visitor question using a key word (belief, festival, symbol).</t>
  </si>
  <si>
    <t xml:space="preserve">showcase, exhibit, present, meaning, belief, festival, symbol</t>
  </si>
  <si>
    <t xml:space="preserve">All W3–7 makes + the W6 grid photos; display route + signs; invited adults booked; recorders; camera.</t>
  </si>
  <si>
    <t xml:space="preserve">S (unit evidence banked — AQA UAS)</t>
  </si>
  <si>
    <t xml:space="preserve">Tiered 3 ways at every step — scaffold, task version and evidence prompt (symbol-supported → sentence-stem → independent): same outcome, different rung. Hands-on route first; easy-read/symbol resources; chunked steps with modelling; movement built into every session.  The tour is 1:1 or tiny-group by choice; playing your own clip counts as presenting; the route is walked once empty first (Pupil A, Pupil B: no surprises).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</si>
  <si>
    <t xml:space="preserve">TA walks each rehearsal and hosts the visitors.  LOOP [Feedback Policy]: Voice = curate/present [VF] → Audience: receive the tour fully, name one thing learned back, then [R] → EVIDENCE: clips + photos banked, same day [E: cultural — daily evidence platform; banks AQA UAS].</t>
  </si>
  <si>
    <t xml:space="preserve">Influence: unit closed — bank the evidence set per pupil; presenting confidence feeds Spring's oracy targets and the APDR [NS].</t>
  </si>
  <si>
    <t xml:space="preserve">Humanities</t>
  </si>
  <si>
    <t xml:space="preserve">Migration &amp; identity in Britain (Kapow History, adapted) · NC KS2, supported · AQA UAS 'History around us' · ladders toward Grow Humanities · SoW Aut1·W8</t>
  </si>
  <si>
    <t xml:space="preserve">I can find the continents and oceans on a map and one country that matters to me.</t>
  </si>
  <si>
    <t xml:space="preserve">Arrival: 'where in the world?' — jump to a continent on the giant floor map → model using the atlas picture-index → we do: find two continents and one ocean together → you do: label the 7 continents with picture-supported stickers and plant a flag on one country that matters to you — family link, a Week 4 figure, or a football team (Pupil D) → exit: name one continent + one ocean from your spot on the map.  EVIDENCE: floor-map photos + flags (banks AQA UAS — end-of-unit).  GROW STRETCH: 'Going for Grow' card — use the atlas index to find a second country cold.</t>
  </si>
  <si>
    <t xml:space="preserve">continent, ocean, map, atlas, country, locate, world</t>
  </si>
  <si>
    <t xml:space="preserve">Giant floor map; atlases with picture index; continent stickers (named); flags; camera.</t>
  </si>
  <si>
    <t xml:space="preserve">S (community project evidence, banks AQA UAS)</t>
  </si>
  <si>
    <t xml:space="preserve">Tiered 3 ways at every step — scaffold, task version and evidence prompt (symbol-supported → sentence-stem → independent): same outcome, different rung. Hands-on route first; easy-read/symbol resources; chunked steps with modelling; movement built into every session.  The map is walked and jumped — location is physical before it's paper; stickers carry names; one continent + one ocean is the first rung, all seven the top.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</si>
  <si>
    <t xml:space="preserve">TA runs the atlas table and photographs each flag planting.  LOOP [Feedback Policy]: Voice = jump/label/plant + say [VF, I] → Audience: name the location back; [R] on an accurate re-do → EVIDENCE: map photos, same day [E: humanities — daily evidence platform; banks AQA UAS].</t>
  </si>
  <si>
    <t xml:space="preserve">Influence: bridges the history unit to Spring's geography — note who transfers a W4 figure to the map unprompted; RAG the unit against the W1 timeline baseline [NS].</t>
  </si>
  <si>
    <t xml:space="preserve">Arts (Arts Award)</t>
  </si>
  <si>
    <t xml:space="preserve">Identity in art &amp; developing skills (Trinity Arts Award Explore, supported) · AQA UAS 'Creating artwork' · toward Explore completion → Bronze (Launch) · SoW Creative Arts</t>
  </si>
  <si>
    <t xml:space="preserve">I can explore festival sounds and instruments and show how they make me feel.</t>
  </si>
  <si>
    <t xml:space="preserve">Arrival: eyes closed — one festival sound, one word or feeling-symbol for it → model describing a sound (loud/soft, fast/slow, happy/calm) → try one instrument together → you do: explore the instrument set and match sound → feeling symbols in the log; record a favourite-sound clip → the set plays LIVE as the RE showcase soundtrack — the two finales join up → exit: play your favourite to the group (opt-out fine).  EVIDENCE: sound→feeling log page + clips — completes the Explore log for the half-term.  GROW STRETCH: 'Going for Grow' card — layer two sounds and name the mood you built.</t>
  </si>
  <si>
    <t xml:space="preserve">sound, instrument, loud, soft, fast, slow, mood, feeling</t>
  </si>
  <si>
    <t xml:space="preserve">Festival sound clips; instrument set (drums, bells, shakers, chimes); feeling-symbol cards; Explore log; recorder.</t>
  </si>
  <si>
    <t xml:space="preserve">S (completed identity artwork + Explore log evidence)</t>
  </si>
  <si>
    <t xml:space="preserve">Tiered 3 ways at every step — scaffold, task version and evidence prompt (symbol-supported → sentence-stem → independent): same outcome, different rung. Hands-on route first; easy-read/symbol resources; chunked steps with modelling; movement built into every session.  Playing is exploring — no 'right' technique; feeling symbols replace written description; volume warning before loud demos (Pupil C, Pupil A).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</si>
  <si>
    <t xml:space="preserve">TA runs the instrument table and records clips.  LOOP [Feedback Policy]: Voice = play/match/record [VF] → Audience: listen fully, name the mood back, then [R] → EVIDENCE: log + clips = Explore evidence, same day [E: Arts Award].</t>
  </si>
  <si>
    <t xml:space="preserve">Influence: the Explore log closes for the half-term — audit Parts A–D per pupil at moderation and calibrate against Grow's logs [NS].</t>
  </si>
  <si>
    <t xml:space="preserve">PE</t>
  </si>
  <si>
    <t xml:space="preserve">ASDAN PEQ (WellbLeE3)</t>
  </si>
  <si>
    <t xml:space="preserve">ASDAN PEQ · WellbLeE3 · Aut·W8 — AUDIT before half term</t>
  </si>
  <si>
    <t xml:space="preserve">I can show the evidence I have collected so far.</t>
  </si>
  <si>
    <t xml:space="preserve">⚠️ AUDIT WEEK — E3.1–E3.4 must be complete and in the portfolio BEFORE half term. Nothing carries over the break. I DO: model checking one portfolio against the criteria list. WE DO: tick off what's there. YOU DO: with an adult, close any last gap TODAY. The plan (E3.5.1) is created W9–W10 and goes LIVE w/c 9 Nov — that date is fixed by the 10-hour rule, so the knowledge outcomes cannot slip past today.</t>
  </si>
  <si>
    <t xml:space="preserve">audit, evidence, portfolio, criteria, complete, gap, check</t>
  </si>
  <si>
    <t xml:space="preserve">Evidence Binder; WellbLeE3 criteria checklist; camera; gap-fill slips; ⚠️ registration confirmed before any of this is banked.</t>
  </si>
  <si>
    <t xml:space="preserve">Audit framed as a celebration wall, not a test; every criterion shown as a photo/quote the pupil recognises as theirs; scribed voice throughout</t>
  </si>
  <si>
    <t xml:space="preserve">TA and teacher audit portfolios in parallel against the WellbLeE3 checklist; anything missed closed before Friday; assessment records signed &amp; dated (assessor + learner)</t>
  </si>
  <si>
    <t xml:space="preserve">Slot 1 · Careers (ASDAN)</t>
  </si>
  <si>
    <t xml:space="preserve">Careers &amp; world of work — strengths to jobs (evidences ASDAN Living Independently M8; AQA UAS)</t>
  </si>
  <si>
    <t xml:space="preserve">I can complete and file my careers evidence for the half term (consolidation).</t>
  </si>
  <si>
    <t xml:space="preserve">Portfolio surgery: finish profile pages and outstanding evidence; celebrate strengths growth since W1; set one Aut2 goal.</t>
  </si>
  <si>
    <t xml:space="preserve">strength, skill, job, worker, employer, routine, profile, evidence</t>
  </si>
  <si>
    <t xml:space="preserve">Strength cards; local jobs photo bank; profile posters; visitor link. W1 lesson: BUILD_L1_Careers_Strengths.html (evidence print incl. Yellow Box/WWW-EBI footer).</t>
  </si>
  <si>
    <t xml:space="preserve">Tiered 3 ways at every step; NEVER colour-only coding (Pupil B — pair every colour with a word/symbol); movement jobs &amp; pacing breaks built in (Pupil D); low-demand entry + fatigue watch, key tasks early in session (Pupil C); confidence-first low-stakes start, praise attempts before accuracy (Pupil A); photo/oral/scribed evidence accepted throughout.</t>
  </si>
  <si>
    <t xml:space="preserve">TA runs paired talk with stems; scribes for reluctant writers (note “TA scribed”); champions Pupil A early and often.</t>
  </si>
  <si>
    <t xml:space="preserve">Slot 2 · Vocational / D&amp;T (ASDAN)</t>
  </si>
  <si>
    <t xml:space="preserve">D&amp;T via ASDAN tasters: kitchen skills → Textiles design-make-evaluate (Aut1); Construction from Aut2</t>
  </si>
  <si>
    <t xml:space="preserve">I can finish, photograph and file my outstanding make(s) (consolidation).</t>
  </si>
  <si>
    <t xml:space="preserve">Finish-it session: complete textile items; evidence catch-up; tool-and-rules recap quiz; kit audit for Construction after half term.</t>
  </si>
  <si>
    <t xml:space="preserve">tool, safety, hygiene, recipe, fabric, join, design, evaluate</t>
  </si>
  <si>
    <t xml:space="preserve">Kitchen + tools, PPE, recipe cards; fabrics &amp; fastenings. W1 lesson: BUILD_L1_Vocational_Kitchen_Induction.html.</t>
  </si>
  <si>
    <t xml:space="preserve">TA runs safe-carry / wash-up stations; signs skill cards only when genuinely met; models every technique first.</t>
  </si>
  <si>
    <t xml:space="preserve">Slot 3 · PfA — ASDAN Living Independently</t>
  </si>
  <si>
    <t xml:space="preserve">ASDAN LI — M1 Earning &amp; Spending Money (Aut1) → M2 Keeping Track of Your Money (Aut2); Section A: 4 challenges over ~10 hrs = 1 credit per module</t>
  </si>
  <si>
    <t xml:space="preserve">I can close the gaps in my Module 1 evidence (consolidation &amp; credit check).</t>
  </si>
  <si>
    <t xml:space="preserve">Challenge-completion clinic: outstanding M1 challenges finished; skills grids ticked; tutor sign-offs; Module 1 credit confirmed banked.</t>
  </si>
  <si>
    <t xml:space="preserve">income, spending, wages, benefits, payslip, price, budget, bank</t>
  </si>
  <si>
    <t xml:space="preserve">Practice money + tins, payslip, price tags, money-map paper, spending diary; LI student book / e-portfolio. W1 lesson: BUILD_L1_LI_Where_Money_Comes_From.html.</t>
  </si>
  <si>
    <t xml:space="preserve">TA runs wage-packet counting 1:1; money talk stays judgement-free; NO personal family finances recorded.</t>
  </si>
  <si>
    <t xml:space="preserve">Slot 4 · PfA — ASDAN FoodWise</t>
  </si>
  <si>
    <t xml:space="preserve">ASDAN FoodWise — M1 Healthy Eating (Aut1) → M2 Basic Food Safety (Aut2); Section A: 4 challenges over ~10 hrs = 1 credit per module</t>
  </si>
  <si>
    <t xml:space="preserve">Challenge-completion clinic: outstanding M1 challenges finished; display photographed as group evidence; sign-offs; credit confirmed.</t>
  </si>
  <si>
    <t xml:space="preserve">food group, carbohydrate, protein, dairy, balance, label, hygiene, safety</t>
  </si>
  <si>
    <t xml:space="preserve">Eatwell mat + real foods, packaging for traffic-light labels, kitchen, display kit; FoodWise student book. SMSC anchor: World Food Day 16 Oct. W1 lesson: FW_L1_Food_Groups.html.</t>
  </si>
  <si>
    <t xml:space="preserve">TA runs food-handling hygiene checks; allergy list confirmed with the office before EVERY food session; photo evidence per pupil per practical.</t>
  </si>
  <si>
    <t xml:space="preserve">Slot 5 · Community A — Community Project &amp; Vocational</t>
  </si>
  <si>
    <t xml:space="preserve">Community Project &amp; Vocational — sustained local contribution; ASDAN/UAS community evidence. Trips/Visits policy applies to ALL off-site work (approval 4 weeks ahead, min. two staff).</t>
  </si>
  <si>
    <t xml:space="preserve">I can bring our project log up to date and agree our first Aut2 step (consolidation).</t>
  </si>
  <si>
    <t xml:space="preserve">Log surgery: photos in, reflections written; thank-you note to partner for progress so far; one concrete first task agreed for after half term.</t>
  </si>
  <si>
    <t xml:space="preserve">community, project, partner, role, responsibility, contribute, evidence</t>
  </si>
  <si>
    <t xml:space="preserve">Local partner venue; PPE as required; project log; camera. ICT embedded: digital project log.</t>
  </si>
  <si>
    <t xml:space="preserve">TA supports allocated roles and captures the weekly log; off-site checklist confirmed before leaving site every time.</t>
  </si>
  <si>
    <t xml:space="preserve">Slot 6 · Community B — Junior/Young Duke + Social Enterprise</t>
  </si>
  <si>
    <t xml:space="preserve">Junior/Young Duke (Capable Kids) challenge levels + community &amp; social enterprise action · AQA UAS “Personal challenge”.</t>
  </si>
  <si>
    <t xml:space="preserve">I can get my Duke log signed up to date (consolidation).</t>
  </si>
  <si>
    <t xml:space="preserve">Challenge log check: every attempted challenge photographed + commented; tutor sign-offs to date; pledge wall refreshed.</t>
  </si>
  <si>
    <t xml:space="preserve">challenge, pledge, evidence, resilience, kindness, independence</t>
  </si>
  <si>
    <t xml:space="preserve">Junior/Young Duke booklets (first aid, cookery, eco, independence challenges); challenge log; camera/tablet. SMSC anchors: Anti-Bullying Week 16–20 Nov, World Kindness Day 13 Nov.</t>
  </si>
  <si>
    <t xml:space="preserve">TA witnesses and photographs each challenge attempt; tutor signs off only genuinely met challenges; pledge wall kept current.</t>
  </si>
  <si>
    <t xml:space="preserve">Enrichment &amp; wider opportunities this week   (trips, visitors, themed days, SMSC calendar link, PfA / community)</t>
  </si>
  <si>
    <t xml:space="preserve">BHM culmination week — community action (PSHE) + Festivals-of-Light showcase with invited adults (RE/Arts).  Half-term Fri 23 Oct.  PfA / community: the action itself is the community access this week.</t>
  </si>
  <si>
    <t xml:space="preserve">Resources &amp; support to prepare before the week   (printing, kit, bookings, briefing the team)</t>
  </si>
  <si>
    <t xml:space="preserve">Print/prepare: Tuck-Shop stock, scales, jugs, till + float (count it with pupils), price labels + profit board, dark den + torches/mirrors/spray + string, action kit as pitched (per W7 board) + weather backup, showcase route + signs + invited adults confirmed, instrument set + feeling-symbol cards.  Brief all adults on job allocations from W7 evidence.  Celebrate the half-term — photos everywhere.</t>
  </si>
  <si>
    <t xml:space="preserve">F = formative  ·  S = summative  ·  PfA = Preparing for Adulthood  </t>
  </si>
  <si>
    <t xml:space="preserve">Student Adaptations</t>
  </si>
  <si>
    <t xml:space="preserve">Name</t>
  </si>
  <si>
    <t xml:space="preserve">Year / KS</t>
  </si>
  <si>
    <t xml:space="preserve">Reading age band</t>
  </si>
  <si>
    <t xml:space="preserve">Communication / sensory needs</t>
  </si>
  <si>
    <t xml:space="preserve">Key scaffolds &amp; adaptations</t>
  </si>
  <si>
    <t xml:space="preserve">EHCP primary outcomes</t>
  </si>
  <si>
    <t xml:space="preserve">PfA focus</t>
  </si>
  <si>
    <t xml:space="preserve">Notes</t>
  </si>
  <si>
    <t xml:space="preserve">Pupil A</t>
  </si>
  <si>
    <t xml:space="preserve">KS4</t>
  </si>
  <si>
    <t xml:space="preserve">Pupil B</t>
  </si>
  <si>
    <t xml:space="preserve">Pupil C</t>
  </si>
  <si>
    <t xml:space="preserve">Pupil D</t>
  </si>
  <si>
    <t xml:space="preserve">Outcome Tracker </t>
  </si>
  <si>
    <t xml:space="preserve">Did everyone make progress and meet the outcome? </t>
  </si>
  <si>
    <t xml:space="preserve">GREEN</t>
  </si>
  <si>
    <t xml:space="preserve">All demonstrated progress &amp; achieved the outcome</t>
  </si>
  <si>
    <t xml:space="preserve">AMBER</t>
  </si>
  <si>
    <t xml:space="preserve">Partly met, revisit in class</t>
  </si>
  <si>
    <t xml:space="preserve">RED</t>
  </si>
  <si>
    <t xml:space="preserve">Not met, pick up through intervention</t>
  </si>
  <si>
    <t xml:space="preserve">Week (w/c)</t>
  </si>
  <si>
    <t xml:space="preserve">Outcome reviewed</t>
  </si>
  <si>
    <t xml:space="preserve">Marking / evidence</t>
  </si>
  <si>
    <t xml:space="preserve">RAG</t>
  </si>
  <si>
    <t xml:space="preserve">Students not yet secure</t>
  </si>
  <si>
    <t xml:space="preserve">Picked up via</t>
  </si>
  <si>
    <t xml:space="preserve">Action &amp; timescale</t>
  </si>
  <si>
    <t xml:space="preserve">I can show that light travels in straight lines and say how we see.</t>
  </si>
  <si>
    <t xml:space="preserve">Student has reviewed previous work, completed or improved at least one task, and agreed one realistic English/employability target.</t>
  </si>
  <si>
    <t xml:space="preserve">PEQ portfolio: photos + scribed voice + witness statements</t>
  </si>
  <si>
    <t xml:space="preserve">PfA — ASDAN LI</t>
  </si>
  <si>
    <t xml:space="preserve">LI portfolio: challenge evidence + skills grid</t>
  </si>
  <si>
    <t xml:space="preserve">PfA — ASDAN FoodWise</t>
  </si>
  <si>
    <t xml:space="preserve">FoodWise portfolio: challenge evidence + photos</t>
  </si>
  <si>
    <t xml:space="preserve">This sheet:</t>
  </si>
  <si>
    <t xml:space="preserve">Green</t>
  </si>
  <si>
    <t xml:space="preserve">Amber</t>
  </si>
  <si>
    <t xml:space="preserve">Red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</si>
</sst>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-mmm\-yy"/>
    <numFmt numFmtId="166" formatCode="yyyy\-mm\-dd\ h:mm:ss"/>
    <numFmt numFmtId="167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566159"/>
      <name val="Arial"/>
      <family val="0"/>
      <charset val="1"/>
    </font>
    <font>
      <b val="true"/>
      <sz val="9"/>
      <color rgb="FF566159"/>
      <name val="Arial"/>
      <family val="0"/>
      <charset val="1"/>
    </font>
    <font>
      <b val="true"/>
      <sz val="10"/>
      <color rgb="FF1B2420"/>
      <name val="Arial"/>
      <family val="0"/>
      <charset val="1"/>
    </font>
    <font>
      <b val="true"/>
      <sz val="10"/>
      <color rgb="FF2E7D4F"/>
      <name val="Arial"/>
      <family val="0"/>
      <charset val="1"/>
    </font>
    <font>
      <sz val="9"/>
      <color rgb="FF2E2A5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B2420"/>
      <name val="Arial"/>
      <family val="0"/>
      <charset val="1"/>
    </font>
    <font>
      <b val="true"/>
      <sz val="9"/>
      <color theme="1"/>
      <name val="Arial"/>
      <family val="0"/>
      <charset val="1"/>
    </font>
    <font>
      <sz val="9"/>
      <color theme="1"/>
      <name val="Arial"/>
      <family val="0"/>
      <charset val="1"/>
    </font>
    <font>
      <sz val="9"/>
      <color rgb="FF1B2420"/>
      <name val="Arial"/>
      <family val="0"/>
      <charset val="1"/>
    </font>
    <font>
      <sz val="9"/>
      <color rgb="FF1B2420"/>
      <name val="Arial"/>
      <family val="2"/>
      <charset val="1"/>
    </font>
    <font>
      <sz val="9"/>
      <color rgb="FF222222"/>
      <name val="Aptos"/>
      <family val="2"/>
      <charset val="1"/>
    </font>
    <font>
      <i val="true"/>
      <sz val="8"/>
      <color rgb="FF56615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Arial"/>
      <family val="2"/>
      <charset val="1"/>
    </font>
    <font>
      <sz val="10"/>
      <name val="Arial"/>
      <family val="2"/>
      <charset val="1"/>
    </font>
    <font>
      <sz val="9"/>
      <name val="Arial"/>
      <family val="2"/>
      <charset val="1"/>
    </font>
    <font>
      <b val="true"/>
      <sz val="10"/>
      <color rgb="FFFFFFFF"/>
      <name val="Arial"/>
      <family val="0"/>
      <charset val="1"/>
    </font>
    <font>
      <sz val="8"/>
      <color rgb="FF5661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6006E"/>
        <bgColor rgb="FF800080"/>
      </patternFill>
    </fill>
    <fill>
      <patternFill patternType="solid">
        <fgColor rgb="FFFBE3F0"/>
        <bgColor rgb="FFEFE9F2"/>
      </patternFill>
    </fill>
    <fill>
      <patternFill patternType="solid">
        <fgColor rgb="FFEFE9F2"/>
        <bgColor rgb="FFFBE3F0"/>
      </patternFill>
    </fill>
    <fill>
      <patternFill patternType="solid">
        <fgColor rgb="FFFFFFFF"/>
        <bgColor rgb="FFF4F7F3"/>
      </patternFill>
    </fill>
    <fill>
      <patternFill patternType="solid">
        <fgColor rgb="FFF4F7F3"/>
        <bgColor rgb="FFFFFFFF"/>
      </patternFill>
    </fill>
    <fill>
      <patternFill patternType="solid">
        <fgColor rgb="FF2E7D4F"/>
        <bgColor rgb="FF1F6F7A"/>
      </patternFill>
    </fill>
    <fill>
      <patternFill patternType="solid">
        <fgColor rgb="FFD9A227"/>
        <bgColor rgb="FFB8742A"/>
      </patternFill>
    </fill>
    <fill>
      <patternFill patternType="solid">
        <fgColor rgb="FFC0392B"/>
        <bgColor rgb="FF99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3CDC1"/>
      </bottom>
      <diagonal/>
    </border>
    <border diagonalUp="false" diagonalDown="false">
      <left style="thin">
        <color rgb="FFC9C9D6"/>
      </left>
      <right style="thin">
        <color rgb="FFC9C9D6"/>
      </right>
      <top style="thin">
        <color rgb="FFC9C9D6"/>
      </top>
      <bottom style="thin">
        <color rgb="FFC9C9D6"/>
      </bottom>
      <diagonal/>
    </border>
    <border diagonalUp="false" diagonalDown="false">
      <left style="thin">
        <color rgb="FFC3CDC1"/>
      </left>
      <right style="thin">
        <color rgb="FFC3CDC1"/>
      </right>
      <top style="thin">
        <color rgb="FFC3CDC1"/>
      </top>
      <bottom style="thin">
        <color rgb="FFC3CDC1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5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6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2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2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FFFFFF"/>
      </font>
      <fill>
        <patternFill>
          <bgColor rgb="FF2E7D4F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B8742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1F6F7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D9A227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0392B"/>
        </patternFill>
      </fill>
    </dxf>
  </dxfs>
  <colors>
    <indexedColors>
      <rgbColor rgb="FF000000"/>
      <rgbColor rgb="FFFFFFFF"/>
      <rgbColor rgb="FFD6006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42A"/>
      <rgbColor rgb="FF800080"/>
      <rgbColor rgb="FF1F6F7A"/>
      <rgbColor rgb="FFC3CDC1"/>
      <rgbColor rgb="FF808080"/>
      <rgbColor rgb="FF9999FF"/>
      <rgbColor rgb="FF993366"/>
      <rgbColor rgb="FFF4F7F3"/>
      <rgbColor rgb="FFEFE9F2"/>
      <rgbColor rgb="FF660066"/>
      <rgbColor rgb="FFFF8080"/>
      <rgbColor rgb="FF0066CC"/>
      <rgbColor rgb="FFC9C9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3F0"/>
      <rgbColor rgb="FF3366FF"/>
      <rgbColor rgb="FF33CCCC"/>
      <rgbColor rgb="FF99CC00"/>
      <rgbColor rgb="FFFFCC00"/>
      <rgbColor rgb="FFD9A227"/>
      <rgbColor rgb="FFFF6600"/>
      <rgbColor rgb="FF566159"/>
      <rgbColor rgb="FF969696"/>
      <rgbColor rgb="FF003366"/>
      <rgbColor rgb="FF2E7D4F"/>
      <rgbColor rgb="FF1B2420"/>
      <rgbColor rgb="FF222222"/>
      <rgbColor rgb="FFC0392B"/>
      <rgbColor rgb="FF993366"/>
      <rgbColor rgb="FF333399"/>
      <rgbColor rgb="FF2E2A5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006E"/>
    <pageSetUpPr fitToPage="fals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1" activePane="bottomLeft" state="frozen"/>
      <selection pane="topLeft" activeCell="A1" activeCellId="0" sqref="A1"/>
      <selection pane="bottomLeft" activeCell="C11" activeCellId="0" sqref="C11"/>
    </sheetView>
  </sheetViews>
  <sheetFormatPr defaultColWidth="8.562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4" min="3" style="1" width="26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10"/>
    <col collapsed="false" customWidth="true" hidden="false" outlineLevel="0" max="8" min="8" style="1" width="26"/>
    <col collapsed="false" customWidth="true" hidden="false" outlineLevel="0" max="10" min="9" style="1" width="2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4.2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9.5" hidden="false" customHeight="true" outlineLevel="0" collapsed="false">
      <c r="A4" s="4" t="s">
        <v>2</v>
      </c>
      <c r="B4" s="5" t="s">
        <v>3</v>
      </c>
      <c r="D4" s="1" t="n">
        <v>8</v>
      </c>
      <c r="F4" s="4" t="s">
        <v>4</v>
      </c>
      <c r="G4" s="5" t="n">
        <v>8</v>
      </c>
    </row>
    <row r="5" customFormat="false" ht="19.5" hidden="false" customHeight="true" outlineLevel="0" collapsed="false">
      <c r="A5" s="4" t="s">
        <v>5</v>
      </c>
      <c r="B5" s="5" t="s">
        <v>6</v>
      </c>
      <c r="F5" s="4" t="s">
        <v>7</v>
      </c>
      <c r="G5" s="5"/>
    </row>
    <row r="6" customFormat="false" ht="19.5" hidden="false" customHeight="true" outlineLevel="0" collapsed="false">
      <c r="A6" s="4" t="s">
        <v>8</v>
      </c>
      <c r="B6" s="6" t="str">
        <f aca="false">IF(B5="Autumn","Identity &amp; Belonging",IF(B5="Spring","Resilience &amp; Change",IF(B5="Summer","Our World, My Future","pick a term")))</f>
        <v>Identity &amp; Belonging</v>
      </c>
      <c r="C6" s="6"/>
      <c r="D6" s="6"/>
      <c r="F6" s="4" t="s">
        <v>9</v>
      </c>
      <c r="G6" s="5"/>
    </row>
    <row r="7" customFormat="false" ht="19.5" hidden="false" customHeight="true" outlineLevel="0" collapsed="false">
      <c r="A7" s="4" t="s">
        <v>10</v>
      </c>
      <c r="B7" s="7" t="n">
        <v>46314</v>
      </c>
      <c r="F7" s="4" t="s">
        <v>11</v>
      </c>
      <c r="G7" s="5"/>
    </row>
    <row r="8" customFormat="false" ht="45.75" hidden="false" customHeight="true" outlineLevel="0" collapsed="false">
      <c r="A8" s="8" t="s">
        <v>12</v>
      </c>
      <c r="B8" s="8"/>
      <c r="C8" s="8"/>
      <c r="D8" s="8"/>
      <c r="E8" s="8"/>
      <c r="F8" s="8"/>
      <c r="G8" s="8"/>
      <c r="H8" s="8"/>
      <c r="I8" s="8"/>
      <c r="J8" s="8"/>
    </row>
    <row r="9" customFormat="false" ht="30" hidden="false" customHeight="true" outlineLevel="0" collapsed="false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9" t="s">
        <v>20</v>
      </c>
      <c r="I9" s="9" t="s">
        <v>21</v>
      </c>
      <c r="J9" s="9" t="s">
        <v>22</v>
      </c>
    </row>
    <row r="10" customFormat="false" ht="45.75" hidden="false" customHeight="true" outlineLevel="0" collapsed="false">
      <c r="A10" s="10" t="s">
        <v>23</v>
      </c>
      <c r="B10" s="11" t="s">
        <v>24</v>
      </c>
      <c r="C10" s="12" t="s">
        <v>25</v>
      </c>
      <c r="D10" s="12" t="s">
        <v>26</v>
      </c>
      <c r="E10" s="12" t="s">
        <v>27</v>
      </c>
      <c r="F10" s="12" t="s">
        <v>28</v>
      </c>
      <c r="G10" s="13" t="s">
        <v>29</v>
      </c>
      <c r="H10" s="12" t="s">
        <v>30</v>
      </c>
      <c r="I10" s="12" t="s">
        <v>31</v>
      </c>
      <c r="J10" s="12" t="s">
        <v>32</v>
      </c>
    </row>
    <row r="11" customFormat="false" ht="330" hidden="false" customHeight="true" outlineLevel="0" collapsed="false">
      <c r="A11" s="14" t="s">
        <v>33</v>
      </c>
      <c r="B11" s="15" t="s">
        <v>34</v>
      </c>
      <c r="C11" s="15" t="s">
        <v>35</v>
      </c>
      <c r="D11" s="16" t="s">
        <v>36</v>
      </c>
      <c r="E11" s="16" t="s">
        <v>37</v>
      </c>
      <c r="F11" s="16" t="s">
        <v>38</v>
      </c>
      <c r="G11" s="15" t="s">
        <v>39</v>
      </c>
      <c r="H11" s="16" t="s">
        <v>40</v>
      </c>
      <c r="I11" s="16" t="s">
        <v>41</v>
      </c>
      <c r="J11" s="15" t="s">
        <v>42</v>
      </c>
    </row>
    <row r="12" customFormat="false" ht="339.75" hidden="false" customHeight="true" outlineLevel="0" collapsed="false">
      <c r="A12" s="10" t="s">
        <v>43</v>
      </c>
      <c r="B12" s="13" t="s">
        <v>44</v>
      </c>
      <c r="C12" s="17" t="s">
        <v>45</v>
      </c>
      <c r="D12" s="13" t="s">
        <v>46</v>
      </c>
      <c r="E12" s="13" t="s">
        <v>47</v>
      </c>
      <c r="F12" s="13" t="s">
        <v>48</v>
      </c>
      <c r="G12" s="13" t="s">
        <v>49</v>
      </c>
      <c r="H12" s="13" t="s">
        <v>50</v>
      </c>
      <c r="I12" s="13" t="s">
        <v>51</v>
      </c>
      <c r="J12" s="13" t="s">
        <v>52</v>
      </c>
    </row>
    <row r="13" customFormat="false" ht="330" hidden="false" customHeight="true" outlineLevel="0" collapsed="false">
      <c r="A13" s="14" t="s">
        <v>53</v>
      </c>
      <c r="B13" s="15" t="s">
        <v>54</v>
      </c>
      <c r="C13" s="15" t="s">
        <v>55</v>
      </c>
      <c r="D13" s="15" t="s">
        <v>56</v>
      </c>
      <c r="E13" s="15" t="s">
        <v>57</v>
      </c>
      <c r="F13" s="15" t="s">
        <v>58</v>
      </c>
      <c r="G13" s="15" t="s">
        <v>59</v>
      </c>
      <c r="H13" s="15" t="s">
        <v>60</v>
      </c>
      <c r="I13" s="15" t="s">
        <v>61</v>
      </c>
      <c r="J13" s="15" t="s">
        <v>62</v>
      </c>
    </row>
    <row r="14" customFormat="false" ht="330" hidden="false" customHeight="true" outlineLevel="0" collapsed="false">
      <c r="A14" s="10" t="s">
        <v>63</v>
      </c>
      <c r="B14" s="13" t="s">
        <v>64</v>
      </c>
      <c r="C14" s="17" t="s">
        <v>65</v>
      </c>
      <c r="D14" s="13" t="s">
        <v>66</v>
      </c>
      <c r="E14" s="13" t="s">
        <v>67</v>
      </c>
      <c r="F14" s="13" t="s">
        <v>68</v>
      </c>
      <c r="G14" s="13" t="s">
        <v>69</v>
      </c>
      <c r="H14" s="13" t="s">
        <v>70</v>
      </c>
      <c r="I14" s="13" t="s">
        <v>71</v>
      </c>
      <c r="J14" s="13" t="s">
        <v>72</v>
      </c>
    </row>
    <row r="15" customFormat="false" ht="330" hidden="false" customHeight="true" outlineLevel="0" collapsed="false">
      <c r="A15" s="14" t="s">
        <v>73</v>
      </c>
      <c r="B15" s="15" t="s">
        <v>74</v>
      </c>
      <c r="C15" s="17" t="s">
        <v>75</v>
      </c>
      <c r="D15" s="13" t="s">
        <v>76</v>
      </c>
      <c r="E15" s="13" t="s">
        <v>77</v>
      </c>
      <c r="F15" s="13" t="s">
        <v>78</v>
      </c>
      <c r="G15" s="13" t="s">
        <v>79</v>
      </c>
      <c r="H15" s="13" t="s">
        <v>80</v>
      </c>
      <c r="I15" s="13" t="s">
        <v>81</v>
      </c>
      <c r="J15" s="13" t="s">
        <v>82</v>
      </c>
    </row>
    <row r="16" customFormat="false" ht="330" hidden="false" customHeight="true" outlineLevel="0" collapsed="false">
      <c r="A16" s="10" t="s">
        <v>83</v>
      </c>
      <c r="B16" s="13" t="s">
        <v>84</v>
      </c>
      <c r="C16" s="17" t="s">
        <v>85</v>
      </c>
      <c r="D16" s="13" t="s">
        <v>86</v>
      </c>
      <c r="E16" s="13" t="s">
        <v>87</v>
      </c>
      <c r="F16" s="13" t="s">
        <v>88</v>
      </c>
      <c r="G16" s="13" t="s">
        <v>89</v>
      </c>
      <c r="H16" s="13" t="s">
        <v>90</v>
      </c>
      <c r="I16" s="13" t="s">
        <v>91</v>
      </c>
      <c r="J16" s="13" t="s">
        <v>92</v>
      </c>
    </row>
    <row r="17" customFormat="false" ht="45.75" hidden="false" customHeight="true" outlineLevel="0" collapsed="false">
      <c r="A17" s="14" t="s">
        <v>93</v>
      </c>
      <c r="B17" s="15"/>
      <c r="C17" s="15"/>
      <c r="D17" s="15"/>
      <c r="E17" s="15"/>
      <c r="F17" s="15"/>
      <c r="G17" s="15"/>
      <c r="H17" s="15"/>
      <c r="I17" s="15"/>
      <c r="J17" s="15"/>
    </row>
    <row r="18" customFormat="false" ht="45.75" hidden="false" customHeight="true" outlineLevel="0" collapsed="false">
      <c r="A18" s="10" t="s">
        <v>94</v>
      </c>
      <c r="B18" s="13" t="s">
        <v>95</v>
      </c>
      <c r="C18" s="13" t="s">
        <v>96</v>
      </c>
      <c r="D18" s="13" t="s">
        <v>97</v>
      </c>
      <c r="E18" s="13" t="s">
        <v>98</v>
      </c>
      <c r="F18" s="13" t="s">
        <v>99</v>
      </c>
      <c r="G18" s="13" t="s">
        <v>49</v>
      </c>
      <c r="H18" s="13" t="s">
        <v>100</v>
      </c>
      <c r="I18" s="13" t="s">
        <v>101</v>
      </c>
      <c r="J18" s="13"/>
    </row>
    <row r="19" customFormat="false" ht="45.75" hidden="false" customHeight="true" outlineLevel="0" collapsed="false">
      <c r="A19" s="10" t="s">
        <v>102</v>
      </c>
      <c r="B19" s="13" t="s">
        <v>103</v>
      </c>
      <c r="C19" s="13" t="s">
        <v>104</v>
      </c>
      <c r="D19" s="13" t="s">
        <v>105</v>
      </c>
      <c r="E19" s="13" t="s">
        <v>106</v>
      </c>
      <c r="F19" s="13" t="s">
        <v>107</v>
      </c>
      <c r="G19" s="13" t="s">
        <v>49</v>
      </c>
      <c r="H19" s="13" t="s">
        <v>108</v>
      </c>
      <c r="I19" s="13" t="s">
        <v>109</v>
      </c>
      <c r="J19" s="13"/>
    </row>
    <row r="20" customFormat="false" ht="45.75" hidden="false" customHeight="true" outlineLevel="0" collapsed="false">
      <c r="A20" s="10" t="s">
        <v>110</v>
      </c>
      <c r="B20" s="13" t="s">
        <v>111</v>
      </c>
      <c r="C20" s="13" t="s">
        <v>112</v>
      </c>
      <c r="D20" s="13" t="s">
        <v>113</v>
      </c>
      <c r="E20" s="13" t="s">
        <v>114</v>
      </c>
      <c r="F20" s="13" t="s">
        <v>115</v>
      </c>
      <c r="G20" s="13" t="s">
        <v>49</v>
      </c>
      <c r="H20" s="13" t="s">
        <v>108</v>
      </c>
      <c r="I20" s="13" t="s">
        <v>116</v>
      </c>
      <c r="J20" s="13"/>
    </row>
    <row r="21" customFormat="false" ht="45.75" hidden="false" customHeight="true" outlineLevel="0" collapsed="false">
      <c r="A21" s="10" t="s">
        <v>117</v>
      </c>
      <c r="B21" s="13" t="s">
        <v>118</v>
      </c>
      <c r="C21" s="13" t="s">
        <v>119</v>
      </c>
      <c r="D21" s="13" t="s">
        <v>120</v>
      </c>
      <c r="E21" s="13" t="s">
        <v>121</v>
      </c>
      <c r="F21" s="13" t="s">
        <v>122</v>
      </c>
      <c r="G21" s="13" t="s">
        <v>49</v>
      </c>
      <c r="H21" s="13" t="s">
        <v>108</v>
      </c>
      <c r="I21" s="13" t="s">
        <v>123</v>
      </c>
      <c r="J21" s="13"/>
    </row>
    <row r="22" customFormat="false" ht="45.75" hidden="false" customHeight="true" outlineLevel="0" collapsed="false">
      <c r="A22" s="10" t="s">
        <v>124</v>
      </c>
      <c r="B22" s="13" t="s">
        <v>125</v>
      </c>
      <c r="C22" s="13" t="s">
        <v>119</v>
      </c>
      <c r="D22" s="13" t="s">
        <v>126</v>
      </c>
      <c r="E22" s="13" t="s">
        <v>127</v>
      </c>
      <c r="F22" s="13" t="s">
        <v>128</v>
      </c>
      <c r="G22" s="13" t="s">
        <v>49</v>
      </c>
      <c r="H22" s="13" t="s">
        <v>108</v>
      </c>
      <c r="I22" s="13" t="s">
        <v>129</v>
      </c>
      <c r="J22" s="13"/>
    </row>
    <row r="23" customFormat="false" ht="45.75" hidden="false" customHeight="true" outlineLevel="0" collapsed="false">
      <c r="A23" s="10" t="s">
        <v>130</v>
      </c>
      <c r="B23" s="13" t="s">
        <v>131</v>
      </c>
      <c r="C23" s="13" t="s">
        <v>132</v>
      </c>
      <c r="D23" s="13" t="s">
        <v>133</v>
      </c>
      <c r="E23" s="13" t="s">
        <v>134</v>
      </c>
      <c r="F23" s="13" t="s">
        <v>135</v>
      </c>
      <c r="G23" s="13" t="s">
        <v>49</v>
      </c>
      <c r="H23" s="13" t="s">
        <v>108</v>
      </c>
      <c r="I23" s="13" t="s">
        <v>136</v>
      </c>
      <c r="J23" s="13"/>
    </row>
    <row r="24" customFormat="false" ht="45.75" hidden="false" customHeight="true" outlineLevel="0" collapsed="false">
      <c r="A24" s="10" t="s">
        <v>137</v>
      </c>
      <c r="B24" s="13" t="s">
        <v>138</v>
      </c>
      <c r="C24" s="13" t="s">
        <v>139</v>
      </c>
      <c r="D24" s="13" t="s">
        <v>140</v>
      </c>
      <c r="E24" s="13" t="s">
        <v>141</v>
      </c>
      <c r="F24" s="13" t="s">
        <v>142</v>
      </c>
      <c r="G24" s="13" t="s">
        <v>49</v>
      </c>
      <c r="H24" s="13" t="s">
        <v>108</v>
      </c>
      <c r="I24" s="13" t="s">
        <v>143</v>
      </c>
      <c r="J24" s="13"/>
    </row>
    <row r="26" customFormat="false" ht="18" hidden="false" customHeight="true" outlineLevel="0" collapsed="false">
      <c r="A26" s="18" t="s">
        <v>144</v>
      </c>
      <c r="B26" s="18"/>
      <c r="C26" s="18"/>
      <c r="D26" s="18"/>
      <c r="E26" s="18"/>
      <c r="F26" s="18"/>
      <c r="G26" s="18"/>
      <c r="H26" s="18"/>
      <c r="I26" s="18"/>
      <c r="J26" s="18"/>
    </row>
    <row r="27" customFormat="false" ht="39.75" hidden="false" customHeight="true" outlineLevel="0" collapsed="false">
      <c r="A27" s="19" t="s">
        <v>145</v>
      </c>
      <c r="B27" s="19"/>
      <c r="C27" s="19"/>
      <c r="D27" s="19"/>
      <c r="E27" s="19"/>
      <c r="F27" s="19"/>
      <c r="G27" s="19"/>
      <c r="H27" s="19"/>
      <c r="I27" s="19"/>
      <c r="J27" s="19"/>
    </row>
    <row r="28" customFormat="false" ht="18" hidden="false" customHeight="true" outlineLevel="0" collapsed="false">
      <c r="A28" s="18" t="s">
        <v>146</v>
      </c>
      <c r="B28" s="18"/>
      <c r="C28" s="18"/>
      <c r="D28" s="18"/>
      <c r="E28" s="18"/>
      <c r="F28" s="18"/>
      <c r="G28" s="18"/>
      <c r="H28" s="18"/>
      <c r="I28" s="18"/>
      <c r="J28" s="18"/>
    </row>
    <row r="29" customFormat="false" ht="39.75" hidden="false" customHeight="true" outlineLevel="0" collapsed="false">
      <c r="A29" s="20" t="s">
        <v>147</v>
      </c>
      <c r="B29" s="20"/>
      <c r="C29" s="20"/>
      <c r="D29" s="20"/>
      <c r="E29" s="20"/>
      <c r="F29" s="20"/>
      <c r="G29" s="20"/>
      <c r="H29" s="20"/>
      <c r="I29" s="20"/>
      <c r="J29" s="20"/>
    </row>
    <row r="30" customFormat="false" ht="18" hidden="false" customHeight="true" outlineLevel="0" collapsed="false">
      <c r="A30" s="21" t="s">
        <v>148</v>
      </c>
      <c r="B30" s="21"/>
      <c r="C30" s="21"/>
      <c r="D30" s="21"/>
      <c r="E30" s="21"/>
      <c r="F30" s="21"/>
      <c r="G30" s="21"/>
      <c r="H30" s="21"/>
      <c r="I30" s="21"/>
      <c r="J30" s="21"/>
    </row>
  </sheetData>
  <mergeCells count="9">
    <mergeCell ref="A1:J1"/>
    <mergeCell ref="A2:J2"/>
    <mergeCell ref="B6:D6"/>
    <mergeCell ref="A8:J8"/>
    <mergeCell ref="A26:J26"/>
    <mergeCell ref="A27:J27"/>
    <mergeCell ref="A28:J28"/>
    <mergeCell ref="A29:J29"/>
    <mergeCell ref="A30:J30"/>
  </mergeCells>
  <dataValidations count="4">
    <dataValidation allowBlank="true" error="Pick a value from the list." errorStyle="stop" errorTitle="Choose from the list" operator="between" showDropDown="false" showErrorMessage="false" showInputMessage="false" sqref="B4" type="list">
      <formula1>"BUILD,GROW,LAUNCH"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B5" type="list">
      <formula1>"Autumn,Spring,Summer"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A10:A18" type="list">
      <formula1>"English,Maths,Science,PSHE / RSE,RE,Humanities,Arts (Arts Award),PE,Careers / Vocational (ASDAN),Computing / Digital,Personal Development / PfA"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G10:G18" type="list">
      <formula1>"F,S,F + 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006E"/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10" activeCellId="0" sqref="D10"/>
    </sheetView>
  </sheetViews>
  <sheetFormatPr defaultColWidth="8.56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1"/>
    <col collapsed="false" customWidth="true" hidden="false" outlineLevel="0" max="3" min="3" style="1" width="10"/>
    <col collapsed="false" customWidth="true" hidden="false" outlineLevel="0" max="4" min="4" style="1" width="15"/>
    <col collapsed="false" customWidth="true" hidden="false" outlineLevel="0" max="5" min="5" style="1" width="26"/>
    <col collapsed="false" customWidth="true" hidden="false" outlineLevel="0" max="7" min="6" style="1" width="36"/>
    <col collapsed="false" customWidth="true" hidden="false" outlineLevel="0" max="8" min="8" style="1" width="22"/>
    <col collapsed="false" customWidth="true" hidden="false" outlineLevel="0" max="9" min="9" style="1" width="26"/>
  </cols>
  <sheetData>
    <row r="1" customFormat="false" ht="25.5" hidden="false" customHeight="true" outlineLevel="0" collapsed="false">
      <c r="A1" s="22" t="s">
        <v>149</v>
      </c>
      <c r="B1" s="22"/>
      <c r="C1" s="22"/>
      <c r="D1" s="22"/>
      <c r="E1" s="22"/>
      <c r="F1" s="22"/>
      <c r="G1" s="22"/>
      <c r="H1" s="22"/>
      <c r="I1" s="22"/>
    </row>
    <row r="2" customFormat="false" ht="14.2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4" customFormat="false" ht="27.75" hidden="false" customHeight="true" outlineLevel="0" collapsed="false">
      <c r="A4" s="9" t="s">
        <v>150</v>
      </c>
      <c r="B4" s="9" t="s">
        <v>2</v>
      </c>
      <c r="C4" s="9" t="s">
        <v>151</v>
      </c>
      <c r="D4" s="9" t="s">
        <v>152</v>
      </c>
      <c r="E4" s="9" t="s">
        <v>153</v>
      </c>
      <c r="F4" s="9" t="s">
        <v>154</v>
      </c>
      <c r="G4" s="9" t="s">
        <v>155</v>
      </c>
      <c r="H4" s="9" t="s">
        <v>156</v>
      </c>
      <c r="I4" s="9" t="s">
        <v>157</v>
      </c>
    </row>
    <row r="5" customFormat="false" ht="174.75" hidden="false" customHeight="true" outlineLevel="0" collapsed="false">
      <c r="A5" s="10" t="s">
        <v>158</v>
      </c>
      <c r="B5" s="13" t="s">
        <v>3</v>
      </c>
      <c r="C5" s="13" t="s">
        <v>159</v>
      </c>
      <c r="D5" s="23"/>
      <c r="E5" s="23"/>
      <c r="F5" s="23"/>
      <c r="G5" s="23"/>
      <c r="H5" s="23"/>
      <c r="I5" s="23"/>
    </row>
    <row r="6" customFormat="false" ht="174.75" hidden="false" customHeight="true" outlineLevel="0" collapsed="false">
      <c r="A6" s="10" t="s">
        <v>160</v>
      </c>
      <c r="B6" s="13" t="s">
        <v>3</v>
      </c>
      <c r="C6" s="13" t="s">
        <v>159</v>
      </c>
      <c r="D6" s="23"/>
      <c r="E6" s="23"/>
      <c r="F6" s="23"/>
      <c r="G6" s="23"/>
      <c r="H6" s="23"/>
      <c r="I6" s="23"/>
    </row>
    <row r="7" customFormat="false" ht="174.75" hidden="false" customHeight="true" outlineLevel="0" collapsed="false">
      <c r="A7" s="10" t="s">
        <v>161</v>
      </c>
      <c r="B7" s="13" t="s">
        <v>3</v>
      </c>
      <c r="C7" s="13" t="s">
        <v>159</v>
      </c>
      <c r="D7" s="23"/>
      <c r="E7" s="23"/>
      <c r="F7" s="23"/>
      <c r="G7" s="23"/>
      <c r="H7" s="23"/>
      <c r="I7" s="23"/>
    </row>
    <row r="8" customFormat="false" ht="174.75" hidden="false" customHeight="true" outlineLevel="0" collapsed="false">
      <c r="A8" s="10" t="s">
        <v>162</v>
      </c>
      <c r="B8" s="13" t="s">
        <v>3</v>
      </c>
      <c r="C8" s="13" t="s">
        <v>159</v>
      </c>
      <c r="D8" s="23"/>
      <c r="E8" s="23"/>
      <c r="F8" s="23"/>
      <c r="G8" s="23"/>
      <c r="H8" s="23"/>
      <c r="I8" s="23"/>
    </row>
    <row r="9" customFormat="false" ht="30" hidden="false" customHeight="true" outlineLevel="0" collapsed="false">
      <c r="A9" s="24"/>
      <c r="B9" s="24"/>
      <c r="C9" s="24"/>
      <c r="D9" s="24"/>
      <c r="E9" s="24"/>
      <c r="F9" s="24"/>
      <c r="G9" s="24"/>
      <c r="H9" s="24"/>
      <c r="I9" s="24"/>
    </row>
    <row r="10" customFormat="false" ht="30" hidden="false" customHeight="true" outlineLevel="0" collapsed="false">
      <c r="A10" s="25"/>
      <c r="B10" s="25"/>
      <c r="C10" s="25"/>
      <c r="D10" s="25"/>
      <c r="E10" s="25"/>
      <c r="F10" s="25"/>
      <c r="G10" s="25"/>
      <c r="H10" s="25"/>
      <c r="I10" s="25"/>
    </row>
    <row r="11" customFormat="false" ht="30" hidden="false" customHeight="true" outlineLevel="0" collapsed="false">
      <c r="A11" s="24"/>
      <c r="B11" s="24"/>
      <c r="C11" s="24"/>
      <c r="D11" s="24"/>
      <c r="E11" s="24"/>
      <c r="F11" s="24"/>
      <c r="G11" s="24"/>
      <c r="H11" s="24"/>
      <c r="I11" s="24"/>
    </row>
    <row r="12" customFormat="false" ht="30" hidden="false" customHeight="true" outlineLevel="0" collapsed="false">
      <c r="A12" s="25"/>
      <c r="B12" s="25"/>
      <c r="C12" s="25"/>
      <c r="D12" s="25"/>
      <c r="E12" s="25"/>
      <c r="F12" s="25"/>
      <c r="G12" s="25"/>
      <c r="H12" s="25"/>
      <c r="I12" s="25"/>
    </row>
    <row r="13" customFormat="false" ht="30" hidden="false" customHeight="true" outlineLevel="0" collapsed="false">
      <c r="A13" s="24"/>
      <c r="B13" s="24"/>
      <c r="C13" s="24"/>
      <c r="D13" s="24"/>
      <c r="E13" s="24"/>
      <c r="F13" s="24"/>
      <c r="G13" s="24"/>
      <c r="H13" s="24"/>
      <c r="I13" s="24"/>
    </row>
    <row r="14" customFormat="false" ht="30" hidden="false" customHeight="true" outlineLevel="0" collapsed="false">
      <c r="A14" s="25"/>
      <c r="B14" s="25"/>
      <c r="C14" s="25"/>
      <c r="D14" s="25"/>
      <c r="E14" s="25"/>
      <c r="F14" s="25"/>
      <c r="G14" s="25"/>
      <c r="H14" s="25"/>
      <c r="I14" s="25"/>
    </row>
    <row r="15" customFormat="false" ht="30" hidden="false" customHeight="true" outlineLevel="0" collapsed="false">
      <c r="A15" s="24"/>
      <c r="B15" s="24"/>
      <c r="C15" s="24"/>
      <c r="D15" s="24"/>
      <c r="E15" s="24"/>
      <c r="F15" s="24"/>
      <c r="G15" s="24"/>
      <c r="H15" s="24"/>
      <c r="I15" s="24"/>
    </row>
    <row r="16" customFormat="false" ht="30" hidden="false" customHeight="true" outlineLevel="0" collapsed="false">
      <c r="A16" s="25"/>
      <c r="B16" s="25"/>
      <c r="C16" s="25"/>
      <c r="D16" s="25"/>
      <c r="E16" s="25"/>
      <c r="F16" s="25"/>
      <c r="G16" s="25"/>
      <c r="H16" s="25"/>
      <c r="I16" s="25"/>
    </row>
    <row r="17" customFormat="false" ht="30" hidden="false" customHeight="true" outlineLevel="0" collapsed="false">
      <c r="A17" s="24"/>
      <c r="B17" s="24"/>
      <c r="C17" s="24"/>
      <c r="D17" s="24"/>
      <c r="E17" s="24"/>
      <c r="F17" s="24"/>
      <c r="G17" s="24"/>
      <c r="H17" s="24"/>
      <c r="I17" s="24"/>
    </row>
    <row r="18" customFormat="false" ht="30" hidden="false" customHeight="true" outlineLevel="0" collapsed="false">
      <c r="A18" s="25"/>
      <c r="B18" s="25"/>
      <c r="C18" s="25"/>
      <c r="D18" s="25"/>
      <c r="E18" s="25"/>
      <c r="F18" s="25"/>
      <c r="G18" s="25"/>
      <c r="H18" s="25"/>
      <c r="I18" s="25"/>
    </row>
    <row r="19" customFormat="false" ht="30" hidden="false" customHeight="true" outlineLevel="0" collapsed="false">
      <c r="A19" s="24"/>
      <c r="B19" s="24"/>
      <c r="C19" s="24"/>
      <c r="D19" s="24"/>
      <c r="E19" s="24"/>
      <c r="F19" s="24"/>
      <c r="G19" s="24"/>
      <c r="H19" s="24"/>
      <c r="I19" s="24"/>
    </row>
  </sheetData>
  <mergeCells count="2">
    <mergeCell ref="A1:I1"/>
    <mergeCell ref="A2:I2"/>
  </mergeCells>
  <conditionalFormatting sqref="B5:B19">
    <cfRule type="cellIs" priority="2" operator="equal" aboveAverage="0" equalAverage="0" bottom="0" percent="0" rank="0" text="" dxfId="0">
      <formula>"BUILD"</formula>
    </cfRule>
    <cfRule type="cellIs" priority="3" operator="equal" aboveAverage="0" equalAverage="0" bottom="0" percent="0" rank="0" text="" dxfId="1">
      <formula>"GROW"</formula>
    </cfRule>
    <cfRule type="cellIs" priority="4" operator="equal" aboveAverage="0" equalAverage="0" bottom="0" percent="0" rank="0" text="" dxfId="2">
      <formula>"LAUNCH"</formula>
    </cfRule>
  </conditionalFormatting>
  <dataValidations count="1">
    <dataValidation allowBlank="true" error="Pick a value from the list." errorStyle="stop" errorTitle="Choose from the list" operator="between" showDropDown="false" showErrorMessage="false" showInputMessage="false" sqref="B5:B19" type="list">
      <formula1>"BUILD,GROW,LAUNCH"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006E"/>
    <pageSetUpPr fitToPage="false"/>
  </sheetPr>
  <dimension ref="A1:I26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5" topLeftCell="A6" activePane="bottomLeft" state="frozen"/>
      <selection pane="topLeft" activeCell="A1" activeCellId="0" sqref="A1"/>
      <selection pane="bottomLeft" activeCell="D10" activeCellId="0" sqref="D10"/>
    </sheetView>
  </sheetViews>
  <sheetFormatPr defaultColWidth="8.562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3" min="3" style="1" width="16"/>
    <col collapsed="false" customWidth="true" hidden="false" outlineLevel="0" max="4" min="4" style="1" width="28"/>
    <col collapsed="false" customWidth="true" hidden="false" outlineLevel="0" max="5" min="5" style="1" width="24"/>
    <col collapsed="false" customWidth="true" hidden="false" outlineLevel="0" max="6" min="6" style="1" width="9"/>
    <col collapsed="false" customWidth="true" hidden="false" outlineLevel="0" max="7" min="7" style="1" width="24"/>
    <col collapsed="false" customWidth="true" hidden="false" outlineLevel="0" max="8" min="8" style="1" width="18"/>
    <col collapsed="false" customWidth="true" hidden="false" outlineLevel="0" max="9" min="9" style="1" width="26"/>
  </cols>
  <sheetData>
    <row r="1" customFormat="false" ht="25.5" hidden="false" customHeight="true" outlineLevel="0" collapsed="false">
      <c r="A1" s="26" t="s">
        <v>163</v>
      </c>
      <c r="B1" s="26"/>
      <c r="C1" s="26"/>
      <c r="D1" s="26"/>
      <c r="E1" s="26"/>
      <c r="F1" s="26"/>
      <c r="G1" s="26"/>
      <c r="H1" s="26"/>
      <c r="I1" s="26"/>
    </row>
    <row r="2" customFormat="false" ht="14.25" hidden="false" customHeight="true" outlineLevel="0" collapsed="false">
      <c r="A2" s="27" t="s">
        <v>164</v>
      </c>
      <c r="B2" s="27"/>
      <c r="C2" s="27"/>
      <c r="D2" s="27"/>
      <c r="E2" s="27"/>
      <c r="F2" s="27"/>
      <c r="G2" s="27"/>
      <c r="H2" s="27"/>
      <c r="I2" s="27"/>
    </row>
    <row r="3" customFormat="false" ht="18" hidden="false" customHeight="true" outlineLevel="0" collapsed="false">
      <c r="A3" s="28" t="s">
        <v>165</v>
      </c>
      <c r="B3" s="29" t="s">
        <v>166</v>
      </c>
      <c r="C3" s="29"/>
      <c r="D3" s="30" t="s">
        <v>167</v>
      </c>
      <c r="E3" s="29" t="s">
        <v>168</v>
      </c>
      <c r="F3" s="29"/>
      <c r="G3" s="31" t="s">
        <v>169</v>
      </c>
      <c r="H3" s="29" t="s">
        <v>170</v>
      </c>
      <c r="I3" s="29"/>
    </row>
    <row r="5" customFormat="false" ht="27.75" hidden="false" customHeight="true" outlineLevel="0" collapsed="false">
      <c r="A5" s="9" t="s">
        <v>171</v>
      </c>
      <c r="B5" s="9" t="s">
        <v>2</v>
      </c>
      <c r="C5" s="9" t="s">
        <v>13</v>
      </c>
      <c r="D5" s="9" t="s">
        <v>172</v>
      </c>
      <c r="E5" s="9" t="s">
        <v>173</v>
      </c>
      <c r="F5" s="9" t="s">
        <v>174</v>
      </c>
      <c r="G5" s="9" t="s">
        <v>175</v>
      </c>
      <c r="H5" s="9" t="s">
        <v>176</v>
      </c>
      <c r="I5" s="9" t="s">
        <v>177</v>
      </c>
    </row>
    <row r="6" customFormat="false" ht="30" hidden="false" customHeight="true" outlineLevel="0" collapsed="false">
      <c r="A6" s="32" t="n">
        <v>46314</v>
      </c>
      <c r="B6" s="13" t="s">
        <v>3</v>
      </c>
      <c r="C6" s="13" t="s">
        <v>43</v>
      </c>
      <c r="D6" s="13" t="s">
        <v>178</v>
      </c>
      <c r="E6" s="13"/>
      <c r="F6" s="13"/>
      <c r="G6" s="13"/>
      <c r="H6" s="13"/>
      <c r="I6" s="13"/>
    </row>
    <row r="7" customFormat="false" ht="30" hidden="false" customHeight="true" outlineLevel="0" collapsed="false">
      <c r="A7" s="32" t="n">
        <v>46314</v>
      </c>
      <c r="B7" s="13" t="s">
        <v>3</v>
      </c>
      <c r="C7" s="13" t="s">
        <v>53</v>
      </c>
      <c r="D7" s="13" t="s">
        <v>55</v>
      </c>
      <c r="E7" s="13"/>
      <c r="F7" s="13"/>
      <c r="G7" s="13"/>
      <c r="H7" s="13"/>
      <c r="I7" s="13"/>
    </row>
    <row r="8" customFormat="false" ht="30" hidden="false" customHeight="true" outlineLevel="0" collapsed="false">
      <c r="A8" s="32" t="n">
        <v>46314</v>
      </c>
      <c r="B8" s="13" t="s">
        <v>3</v>
      </c>
      <c r="C8" s="13" t="s">
        <v>73</v>
      </c>
      <c r="D8" s="13" t="s">
        <v>75</v>
      </c>
      <c r="E8" s="13"/>
      <c r="F8" s="13"/>
      <c r="G8" s="13"/>
      <c r="H8" s="13"/>
      <c r="I8" s="13"/>
    </row>
    <row r="9" customFormat="false" ht="30" hidden="false" customHeight="true" outlineLevel="0" collapsed="false">
      <c r="A9" s="32" t="n">
        <v>46314</v>
      </c>
      <c r="B9" s="13" t="s">
        <v>3</v>
      </c>
      <c r="C9" s="13" t="s">
        <v>83</v>
      </c>
      <c r="D9" s="13" t="s">
        <v>85</v>
      </c>
      <c r="E9" s="13"/>
      <c r="F9" s="13"/>
      <c r="G9" s="13"/>
      <c r="H9" s="13"/>
      <c r="I9" s="13"/>
    </row>
    <row r="10" customFormat="false" ht="30" hidden="false" customHeight="true" outlineLevel="0" collapsed="false">
      <c r="A10" s="32" t="n">
        <v>46314</v>
      </c>
      <c r="B10" s="13" t="s">
        <v>3</v>
      </c>
      <c r="C10" s="33" t="s">
        <v>33</v>
      </c>
      <c r="D10" s="15" t="s">
        <v>35</v>
      </c>
      <c r="E10" s="25"/>
      <c r="F10" s="25"/>
      <c r="G10" s="25"/>
      <c r="H10" s="25"/>
      <c r="I10" s="25"/>
    </row>
    <row r="11" customFormat="false" ht="30" hidden="false" customHeight="true" outlineLevel="0" collapsed="false">
      <c r="A11" s="32" t="n">
        <v>46314</v>
      </c>
      <c r="B11" s="13" t="s">
        <v>3</v>
      </c>
      <c r="C11" s="34" t="s">
        <v>63</v>
      </c>
      <c r="D11" s="17" t="s">
        <v>65</v>
      </c>
      <c r="E11" s="24"/>
      <c r="F11" s="24"/>
      <c r="G11" s="24"/>
      <c r="H11" s="24"/>
      <c r="I11" s="24"/>
    </row>
    <row r="12" customFormat="false" ht="30" hidden="false" customHeight="true" outlineLevel="0" collapsed="false">
      <c r="A12" s="32" t="n">
        <v>46315</v>
      </c>
      <c r="B12" s="13" t="s">
        <v>3</v>
      </c>
      <c r="C12" s="34" t="s">
        <v>23</v>
      </c>
      <c r="D12" s="12" t="s">
        <v>179</v>
      </c>
      <c r="E12" s="25"/>
      <c r="F12" s="25"/>
      <c r="G12" s="25"/>
      <c r="H12" s="25"/>
      <c r="I12" s="25"/>
    </row>
    <row r="13" customFormat="false" ht="30" hidden="false" customHeight="true" outlineLevel="0" collapsed="false">
      <c r="A13" s="35" t="n">
        <v>46314</v>
      </c>
      <c r="B13" s="34" t="s">
        <v>3</v>
      </c>
      <c r="C13" s="34" t="s">
        <v>94</v>
      </c>
      <c r="D13" s="24" t="s">
        <v>96</v>
      </c>
      <c r="E13" s="24" t="s">
        <v>180</v>
      </c>
      <c r="F13" s="24"/>
      <c r="G13" s="24"/>
      <c r="H13" s="24"/>
      <c r="I13" s="24"/>
    </row>
    <row r="14" customFormat="false" ht="30" hidden="false" customHeight="true" outlineLevel="0" collapsed="false">
      <c r="A14" s="36" t="n">
        <v>46314</v>
      </c>
      <c r="B14" s="33" t="s">
        <v>3</v>
      </c>
      <c r="C14" s="33" t="s">
        <v>181</v>
      </c>
      <c r="D14" s="25" t="s">
        <v>119</v>
      </c>
      <c r="E14" s="25" t="s">
        <v>182</v>
      </c>
      <c r="F14" s="25"/>
      <c r="G14" s="25"/>
      <c r="H14" s="25"/>
      <c r="I14" s="25"/>
    </row>
    <row r="15" customFormat="false" ht="25.5" hidden="false" customHeight="true" outlineLevel="0" collapsed="false">
      <c r="A15" s="35" t="n">
        <v>46314</v>
      </c>
      <c r="B15" s="34" t="s">
        <v>3</v>
      </c>
      <c r="C15" s="34" t="s">
        <v>183</v>
      </c>
      <c r="D15" s="24" t="s">
        <v>119</v>
      </c>
      <c r="E15" s="24" t="s">
        <v>184</v>
      </c>
      <c r="F15" s="24"/>
      <c r="G15" s="24"/>
      <c r="H15" s="24"/>
      <c r="I15" s="24"/>
    </row>
    <row r="16" customFormat="false" ht="25.5" hidden="false" customHeight="true" outlineLevel="0" collapsed="false">
      <c r="A16" s="25"/>
      <c r="B16" s="33"/>
      <c r="C16" s="33"/>
      <c r="D16" s="25"/>
      <c r="E16" s="25"/>
      <c r="F16" s="25"/>
      <c r="G16" s="25"/>
      <c r="H16" s="25"/>
      <c r="I16" s="25"/>
    </row>
    <row r="17" customFormat="false" ht="25.5" hidden="false" customHeight="true" outlineLevel="0" collapsed="false">
      <c r="A17" s="24"/>
      <c r="B17" s="34"/>
      <c r="C17" s="34"/>
      <c r="D17" s="24"/>
      <c r="E17" s="24"/>
      <c r="F17" s="24"/>
      <c r="G17" s="24"/>
      <c r="H17" s="24"/>
      <c r="I17" s="24"/>
    </row>
    <row r="18" customFormat="false" ht="25.5" hidden="false" customHeight="true" outlineLevel="0" collapsed="false">
      <c r="A18" s="25"/>
      <c r="B18" s="33"/>
      <c r="C18" s="33"/>
      <c r="D18" s="25"/>
      <c r="E18" s="25"/>
      <c r="F18" s="25"/>
      <c r="G18" s="25"/>
      <c r="H18" s="25"/>
      <c r="I18" s="25"/>
    </row>
    <row r="19" customFormat="false" ht="25.5" hidden="false" customHeight="true" outlineLevel="0" collapsed="false">
      <c r="A19" s="24"/>
      <c r="B19" s="34"/>
      <c r="C19" s="34"/>
      <c r="D19" s="24"/>
      <c r="E19" s="24"/>
      <c r="F19" s="24"/>
      <c r="G19" s="24"/>
      <c r="H19" s="24"/>
      <c r="I19" s="24"/>
    </row>
    <row r="20" customFormat="false" ht="25.5" hidden="false" customHeight="true" outlineLevel="0" collapsed="false">
      <c r="A20" s="25"/>
      <c r="B20" s="33"/>
      <c r="C20" s="33"/>
      <c r="D20" s="25"/>
      <c r="E20" s="25"/>
      <c r="F20" s="25"/>
      <c r="G20" s="25"/>
      <c r="H20" s="25"/>
      <c r="I20" s="25"/>
    </row>
    <row r="21" customFormat="false" ht="25.5" hidden="false" customHeight="true" outlineLevel="0" collapsed="false">
      <c r="A21" s="24"/>
      <c r="B21" s="34"/>
      <c r="C21" s="34"/>
      <c r="D21" s="24"/>
      <c r="E21" s="24"/>
      <c r="F21" s="24"/>
      <c r="G21" s="24"/>
      <c r="H21" s="24"/>
      <c r="I21" s="24"/>
    </row>
    <row r="22" customFormat="false" ht="25.5" hidden="false" customHeight="true" outlineLevel="0" collapsed="false"/>
    <row r="23" customFormat="false" ht="25.5" hidden="false" customHeight="true" outlineLevel="0" collapsed="false">
      <c r="C23" s="37" t="s">
        <v>185</v>
      </c>
      <c r="D23" s="38" t="n">
        <f aca="false">COUNTIF($F$6:$F$18,"Green")</f>
        <v>0</v>
      </c>
      <c r="E23" s="39" t="n">
        <f aca="false">COUNTIF($F$6:$F$18,"Amber")</f>
        <v>0</v>
      </c>
      <c r="F23" s="40" t="n">
        <f aca="false">COUNTIF($F$6:$F$18,"Red")</f>
        <v>0</v>
      </c>
    </row>
    <row r="24" customFormat="false" ht="25.5" hidden="false" customHeight="true" outlineLevel="0" collapsed="false">
      <c r="D24" s="41" t="s">
        <v>186</v>
      </c>
      <c r="E24" s="41" t="s">
        <v>187</v>
      </c>
      <c r="F24" s="41" t="s">
        <v>188</v>
      </c>
    </row>
    <row r="25" customFormat="false" ht="25.5" hidden="false" customHeight="true" outlineLevel="0" collapsed="false"/>
    <row r="26" customFormat="false" ht="25.5" hidden="false" customHeight="true" outlineLevel="0" collapsed="false"/>
  </sheetData>
  <mergeCells count="5">
    <mergeCell ref="A1:I1"/>
    <mergeCell ref="A2:I2"/>
    <mergeCell ref="B3:C3"/>
    <mergeCell ref="E3:F3"/>
    <mergeCell ref="H3:I3"/>
  </mergeCells>
  <conditionalFormatting sqref="F6:F26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3">
      <formula>"Amber"</formula>
    </cfRule>
    <cfRule type="cellIs" priority="4" operator="equal" aboveAverage="0" equalAverage="0" bottom="0" percent="0" rank="0" text="" dxfId="4">
      <formula>"Red"</formula>
    </cfRule>
  </conditionalFormatting>
  <dataValidations count="4">
    <dataValidation allowBlank="true" error="Pick a value from the list." errorStyle="stop" errorTitle="Choose from the list" operator="between" showDropDown="false" showErrorMessage="false" showInputMessage="false" sqref="B6:B26" type="list">
      <formula1>"BUILD,GROW,LAUNCH"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C6:C26" type="list">
      <formula1>"English,Maths,Science,PSHE / RSE,RE,Humanities,Arts (Arts Award),PE,Careers / Vocational (ASDAN),Computing / Digital,Personal Development / PfA"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F6:F26" type="list">
      <formula1>"Green,Amber,Red"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H6:H26" type="list">
      <formula1>"Achieved (move on),Revisit in class,Intervention"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2026-06-22T07:46:21Z</dcterms:created>
  <dc:creator>openpyxl</dc:creator>
  <dc:description/>
  <dc:language>en-US</dc:language>
  <cp:lastModifiedBy>Helen Stewart</cp:lastModifiedBy>
  <dcterms:modified xsi:type="dcterms:W3CDTF">2026-07-15T11:04:51Z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0x0101002C6E38C4B2056147BFEE88C7F682B392</vt:lpwstr>
  </property>
  <property fmtid="{D5CDD505-2E9C-101B-9397-08002B2CF9AE}" pid="3" name="MediaServiceImageTags">
    <vt:lpwstr/>
  </property>
</Properties>
</file>