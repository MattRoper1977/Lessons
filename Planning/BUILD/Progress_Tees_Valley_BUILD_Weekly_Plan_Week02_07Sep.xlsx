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Students" sheetId="2" state="visible" r:id="rId4"/>
    <sheet name="Outcomes RA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<sst xmlns="http://schemas.openxmlformats.org/spreadsheetml/2006/main" count="237" uniqueCount="185">
  <si>
    <t xml:space="preserve">Weekly Planner - To be submitted to Head of School prior to the start of each Half-Term</t>
  </si>
  <si>
    <t xml:space="preserve">Progress Schools  ·  linked to the 2026/27 Schemes of Work</t>
  </si>
  <si>
    <t xml:space="preserve">Pathway</t>
  </si>
  <si>
    <t xml:space="preserve">BUILD</t>
  </si>
  <si>
    <t xml:space="preserve">Week no.</t>
  </si>
  <si>
    <t xml:space="preserve">Term</t>
  </si>
  <si>
    <t xml:space="preserve">Autumn</t>
  </si>
  <si>
    <t xml:space="preserve">Group / class</t>
  </si>
  <si>
    <t xml:space="preserve">Theme</t>
  </si>
  <si>
    <t xml:space="preserve">Teacher</t>
  </si>
  <si>
    <t xml:space="preserve">Week commencing</t>
  </si>
  <si>
    <t xml:space="preserve">Reviewed by</t>
  </si>
  <si>
    <t xml:space="preserve">SMSC/BV this week: International Literacy Day Tue 8 Sep — shared-reading moment in English; the weekly BV/KCSIE assembly series continues (log pupil coverage in the BV hub).  Class charter signed this week — photo to the SMSC Evidence Tracker.</t>
  </si>
  <si>
    <t xml:space="preserve">Subject</t>
  </si>
  <si>
    <t xml:space="preserve">SoW unit (this term)</t>
  </si>
  <si>
    <t xml:space="preserve">This week's outcome</t>
  </si>
  <si>
    <t xml:space="preserve">Activities</t>
  </si>
  <si>
    <t xml:space="preserve">Key vocabulary</t>
  </si>
  <si>
    <t xml:space="preserve">Resources required</t>
  </si>
  <si>
    <t xml:space="preserve">Assess. (F/S)</t>
  </si>
  <si>
    <t xml:space="preserve">Student adaptations</t>
  </si>
  <si>
    <t xml:space="preserve">Classroom support</t>
  </si>
  <si>
    <t xml:space="preserve">Evaluation (after teaching)</t>
  </si>
  <si>
    <t xml:space="preserve">English</t>
  </si>
  <si>
    <t xml:space="preserve">Identity &amp; Belonging: reading a personal profile</t>
  </si>
  <si>
    <t xml:space="preserve">I can find key information in a short profile or biography.</t>
  </si>
  <si>
    <t xml:space="preserve">Arrival: match words to meanings → read a short workplace/student profile → highlight name, role, skills and goals → answer retrieval questions → check answers together.</t>
  </si>
  <si>
    <t xml:space="preserve">profile, role, skill, goal, information, retrieve</t>
  </si>
  <si>
    <t xml:space="preserve">Short profiles/biographies; highlighters; retrieval grid; MCQ support version.</t>
  </si>
  <si>
    <t xml:space="preserve">F</t>
  </si>
  <si>
    <t xml:space="preserve">Short text; key words bolded; MCQ version; reading ruler/overlay; paired adult reading where agreed.</t>
  </si>
  <si>
    <t xml:space="preserve">TA reads with targeted students and supports highlighting. Teacher checks who can retrieve independently.</t>
  </si>
  <si>
    <t xml:space="preserve">Maths</t>
  </si>
  <si>
    <t xml:space="preserve">Number, calculation &amp; fractions (Y5/6)</t>
  </si>
  <si>
    <t xml:space="preserve">I can identify the value of digits in large numbers and decimals and round numbers to a required degree of accuracy.</t>
  </si>
  <si>
    <t xml:space="preserve">Place value investigation using whole numbers and decimals.
Match decimal values to representations.
Rounding to nearest 10, 100, 1000 and whole number.
Real-life rounding problems involving money and measurements.
Reasoning activities explaining rounding decisions.</t>
  </si>
  <si>
    <t xml:space="preserve">Place value
Decimal
Tenths
Hundredths
Thousandths
Round
Estimate
Nearest
Accuracy</t>
  </si>
  <si>
    <t xml:space="preserve">Place value counters
Decimal place value charts
Number lines
Interactive board
Worksheets
Calculators</t>
  </si>
  <si>
    <t xml:space="preserve">Use tenths and hundredths before thousandths.
Colour-coded place value charts.
Scaffolded rounding rules.
Extension with multi-step rounding problems.Pupil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</si>
  <si>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Concrete-pictorial-abstract approach.
Guided examples.
Small group intervention.</t>
  </si>
  <si>
    <t xml:space="preserve">Rounding assessment task.
Practical decimal activities.
Verbal explanations of methods.
Exit quiz.</t>
  </si>
  <si>
    <t xml:space="preserve">Science</t>
  </si>
  <si>
    <t xml:space="preserve">Animals including humans: skeletons, movement &amp; nutrition (White Rose Science Y3) · Pearson Entry Level Science 8939 intro (supported entry) · ladders toward Grow ELC → GCSE Biology 1BI0 (Launch) · SoW Aut1·W2  [REALIGNED to SoW]</t>
  </si>
  <si>
    <t xml:space="preserve">I can say why we need a skeleton.</t>
  </si>
  <si>
    <t xml:space="preserve">Hands-on &amp; catch-up-proof: 'point to the part' recap opens.  Arrival: try to stand up a jelly baby / a floppy sock puppet — why can't it stand? I DO: model the three jobs — SUPPORT (holds me up) · PROTECT (skull guards my brain, ribs guard my heart) · MOVE (bones let me bend). WE DO: tap our own skull and ribs and say the job. YOU DO: match 3 symbol cards (support / protect / move) to 3 pictures; build the answer from cards, not writing. EXIT: point to a bone that PROTECTS something.  MISCONCEPTION: bones are not just 'sticks' — they have jobs.</t>
  </si>
  <si>
    <t xml:space="preserve">skeleton, bone, support, protect, move, skull, ribs, brain, heart</t>
  </si>
  <si>
    <t xml:space="preserve">Sock puppet / jelly baby; skeleton model; support/protect/move symbol cards; picture cards; egg-in-a-box protection demo; floor body outline;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</si>
  <si>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The floppy-puppet moment does the teaching — no explanation needed before it. Answers built from cards.</t>
  </si>
  <si>
    <t xml:space="preserve">TA runs the egg-in-a-box demo with the small group. Teacher keeps the three job symbols on display all half-term. LOOP [Feedback Policy]: Voice = match/point/say the job [VF, ?] → Audience: name one job of the skeleton; [R] once received → EVIDENCE: card-match photo, upload same day [E: science — daily evidence platform; banks ELC 8939].</t>
  </si>
  <si>
    <t xml:space="preserve">Note who gives a JOB rather than a name.  → Influence: 'protect' is the hardest of the three — if it is missing, reteach in W3 with the egg demo again [NS].</t>
  </si>
  <si>
    <t xml:space="preserve">PSHE / RSE</t>
  </si>
  <si>
    <t xml:space="preserve">Identity, rights &amp; British values (PSHE Association KS3, adapted) · AQA UAS 'Rights &amp; responsibilities' · ladders toward Grow PSHE · SoW Aut1·W2</t>
  </si>
  <si>
    <t xml:space="preserve">I can match a right to the responsibility that goes with it.</t>
  </si>
  <si>
    <t xml:space="preserve">Zones check-in settles the session.  Rights relay — sort UNCRC picture cards into 'right or want?' corners (move, don't write) → model right→responsibility pairs (right to learn ↔ let others learn) → we do: match 3 pairs on the floor grid → you do: choose the 2 pairs that matter most to you and photograph them → build our class charter from everyone's chosen pairs (pictures/symbols + signatures or marks) → exit: sign the charter.  EVIDENCE: charter photo (banks AQA UAS).  GROW STRETCH: 'Going for Grow' card — say what happens to the right if the responsibility is dropped.</t>
  </si>
  <si>
    <t xml:space="preserve">right, want, responsibility, fair, respect, charter, agree</t>
  </si>
  <si>
    <t xml:space="preserve">UNCRC picture cards; right/want corner signs; floor grid; charter poster + symbols; pens/ink pads for marks;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</si>
  <si>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All sorting is physical; a mark or symbol counts as a signature; pairs chosen by pointing on the first rung.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</si>
  <si>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referees the relay and scribes reasons beside chosen pairs.  LOOP [Feedback Policy]: Voice = sort/match/choose [VF] → Audience: name the pair back; [R] when the responsibility is shown for real that week → EVIDENCE: charter photo, same day [E: BV/rights — daily evidence platform; banks AQA UAS].</t>
  </si>
  <si>
    <t xml:space="preserve">Influence: the charter becomes live classroom practice → behaviour planning and the BV hub RAG; feeds W3's fair vote [NS].</t>
  </si>
  <si>
    <t xml:space="preserve">RE</t>
  </si>
  <si>
    <t xml:space="preserve">Belief, festivals &amp; belonging (Kapow + RE, adapted) · ladders toward Grow RE · SoW Aut1·W2</t>
  </si>
  <si>
    <t xml:space="preserve">I can say one way a belief shapes what a person does.</t>
  </si>
  <si>
    <t xml:space="preserve">Arrival: 'what do I always do?' — pupils share one routine that matters to them (opt-out fine) → a believer's day by video or guest story (prayer, food, dress) → we do: match 'belief → action' pairs (believes X → so does Y) on the board → you do: choose one artefact, handle it respectfully (two hands, ask first) and say/record what it tells us about the believer → exit: say one belief→action pair.  EVIDENCE: handling photos + clip.  GROW STRETCH: 'Going for Grow' card — give a pair from a SECOND faith.</t>
  </si>
  <si>
    <t xml:space="preserve">belief, action, prayer, routine, respect, artefact, shapes</t>
  </si>
  <si>
    <t xml:space="preserve">Believer's-day video/guest; belief→action pair cards; artefact table; camera; talking tin.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</si>
  <si>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Video route replaces reading; pairs matched with picture cards; recording replaces writing throughout.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</si>
  <si>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supervises handling and scribes what artefacts 'tell us'.  LOOP [Feedback Policy]: Voice = handle/match/say [VF, ?] → Audience: name the pair back; listen to clips fully before tagging, then [R] → EVIDENCE: photo + clip, same day [E: cultural — daily evidence platform].</t>
  </si>
  <si>
    <t xml:space="preserve">Influence: who links belief to action vs restates the belief shapes the festivals block starting W3 — record the change made [NS].</t>
  </si>
  <si>
    <t xml:space="preserve">Humanities</t>
  </si>
  <si>
    <t xml:space="preserve">Migration &amp; identity in Britain (Kapow History, adapted) · NC KS2, supported · AQA UAS 'History around us' · ladders toward Grow Humanities · SoW Aut1·W2</t>
  </si>
  <si>
    <t xml:space="preserve">I can use a photo or object to find one thing out about migration.</t>
  </si>
  <si>
    <t xml:space="preserve">History detectives — move round source case-file stations (photos / handling objects / a suitcase packed for a journey) with magnifying glasses → 'what does this tell us?' — one finding per station (say / point / scribed) → hot-seat a migrant character (teacher in role; pupils ask from picture-prompt question cards) → exit: 'my best clue was…'.  EVIDENCE: station photos + scribed findings (banks AQA UAS).  GROW STRETCH: 'Going for Grow' card — say what the source CAN'T tell us.</t>
  </si>
  <si>
    <t xml:space="preserve">source, clue, evidence, suitcase, journey, question, find out</t>
  </si>
  <si>
    <t xml:space="preserve">Case-file stations (photos, objects, packed suitcase); magnifying glasses; picture-prompt question cards; costume piece for hot-seat;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</si>
  <si>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One finding per station is the ceiling, not the floor; questions asked from picture prompts; findings scribed or recorded.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</si>
  <si>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moves with the group, scribes findings and photographs each station.  LOOP [Feedback Policy]: Voice = point/say a finding, ask a question [VF, ?] → Audience: name the finding back; [R] once received → EVIDENCE: findings sheet photo, same day [E: humanities — daily evidence platform; banks AQA UAS].</t>
  </si>
  <si>
    <t xml:space="preserve">Influence: who questions the source vs describes it shapes W3's cause→consequence work — record the change made [NS].</t>
  </si>
  <si>
    <t xml:space="preserve">Arts (Arts Award)</t>
  </si>
  <si>
    <t xml:space="preserve">Identity in art &amp; developing skills (Trinity Arts Award Explore, supported) · AQA UAS 'Creating artwork' · toward Explore completion → Bronze (Launch) · SoW Creative Arts</t>
  </si>
  <si>
    <t xml:space="preserve">I can practise one skill and show how I got better at it.</t>
  </si>
  <si>
    <t xml:space="preserve">Pick your Week 1 favourite and 'level it up' — three tries of the same skill (attempt 1 → coach tip → attempt 3), photographing every stage → use the levelled-up skill on a surreal 'this is me' symbol experiment → log 'what I improved' beside the photo strip (spoken comments scribed) → exit: hold up attempt 1 vs attempt 3.  EVIDENCE: photo strip + comment in the Explore log (Part B).  GROW STRETCH: 'Going for Grow' card — name the exact change that made attempt 3 better.</t>
  </si>
  <si>
    <t xml:space="preserve">improve, practise, skill, attempt, before, after, level up</t>
  </si>
  <si>
    <t xml:space="preserve">Explore log; chosen-technique materials per pupil; camera (stage photos are the evidence); coach-tip cards.</t>
  </si>
  <si>
    <t xml:space="preserve">S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</si>
  <si>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Improvement is shown by the photo strip — no written comparison needed on the first rung; coach tips given as demonstrations.  Pupil B: texture/pattern routes first.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</si>
  <si>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gives one coach tip per pupil between attempts and shoots the strip.  LOOP [Feedback Policy]: Voice = make + strip + comment [VF] → Audience: name the improvement back; [R] then one next step [NS] → EVIDENCE: Explore log strip = accreditation evidence, same day [E: Arts Award].</t>
  </si>
  <si>
    <t xml:space="preserve">Influence: the practised skill becomes the W3 plan's named technique — flag who is ready to plan independently [NS].</t>
  </si>
  <si>
    <t xml:space="preserve">PE</t>
  </si>
  <si>
    <t xml:space="preserve">ASDAN PEQ (WellbLeE3)</t>
  </si>
  <si>
    <t xml:space="preserve">ASDAN PEQ · WellbLeE3 · Aut·W2 — BASELINE, no assessment</t>
  </si>
  <si>
    <t xml:space="preserve">I can say one thing that helps me and one that does not.</t>
  </si>
  <si>
    <t xml:space="preserve">BASELINE WEEK — nothing assessed. Boxall / GL / BKSB week; keep the ASDAN slot light and relational. Adults begin noticing helps and barriers informally — those observations seed E3.2 in W4. ⚠️ Confirm registration before W3.</t>
  </si>
  <si>
    <t xml:space="preserve">helps, barrier, notice, adult</t>
  </si>
  <si>
    <t xml:space="preserve">Observation slips for all adults; baseline sheets. ⚠️ Registration must be confirmed before W3.</t>
  </si>
  <si>
    <t xml:space="preserve">Photo-sort requires no reading; scribing accepted throughout (log as reasonable adjustment per ASDAN RA policy); private 1:1 option for any pupil unwilling to sort publicly</t>
  </si>
  <si>
    <t xml:space="preserve">TA runs the sort with the small group while teacher records baseline vocabulary; baseline sheet filed — becomes the 'distance travelled' anchor for the E3.7.1 review</t>
  </si>
  <si>
    <t xml:space="preserve">Slot 1 · Careers (ASDAN)</t>
  </si>
  <si>
    <t xml:space="preserve">Careers &amp; world of work — strengths to jobs (evidences ASDAN Living Independently M8; AQA UAS)</t>
  </si>
  <si>
    <t xml:space="preserve">I can map the jobs in my family and community.</t>
  </si>
  <si>
    <t xml:space="preserve">Photo-prompted who-do-I-know web → build the class local jobs map → one job per pupil explained aloud.</t>
  </si>
  <si>
    <t xml:space="preserve">strength, skill, job, worker, employer, routine, profile, evidence</t>
  </si>
  <si>
    <t xml:space="preserve">Strength cards; local jobs photo bank; profile posters; visitor link. W1 lesson: BUILD_L1_Careers_Strengths.html (evidence print incl. Yellow Box/WWW-EBI footer).</t>
  </si>
  <si>
    <t xml:space="preserve">F (no assessment — baseline fortnight)</t>
  </si>
  <si>
    <t xml:space="preserve"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</si>
  <si>
    <t xml:space="preserve">TA runs paired talk with stems; scribes for reluctant writers (note “TA scribed”); champions Pupil A early and often.</t>
  </si>
  <si>
    <t xml:space="preserve">Slot 2 · Vocational / D&amp;T (ASDAN)</t>
  </si>
  <si>
    <t xml:space="preserve">D&amp;T via ASDAN tasters: kitchen skills → Textiles design-make-evaluate (Aut1); Construction from Aut2</t>
  </si>
  <si>
    <t xml:space="preserve">I can prepare a simple snack/drink following modelled steps.</t>
  </si>
  <si>
    <t xml:space="preserve">Teacher demo → paired make → taste, tidy and photo evidence per pupil.</t>
  </si>
  <si>
    <t xml:space="preserve">tool, safety, hygiene, recipe, fabric, join, design, evaluate</t>
  </si>
  <si>
    <t xml:space="preserve">Kitchen + tools, PPE, recipe cards; fabrics &amp; fastenings. W1 lesson: BUILD_L1_Vocational_Kitchen_Induction.html.</t>
  </si>
  <si>
    <t xml:space="preserve">TA runs safe-carry / wash-up stations; signs skill cards only when genuinely met; models every technique first.</t>
  </si>
  <si>
    <t xml:space="preserve">Slot 3 · PfA — ASDAN Living Independently</t>
  </si>
  <si>
    <t xml:space="preserve">ASDAN LI — M1 Earning &amp; Spending Money (Aut1) → M2 Keeping Track of Your Money (Aut2); Section A: 4 challenges over ~10 hrs = 1 credit per module</t>
  </si>
  <si>
    <t xml:space="preserve">Needs vs wants: I can sort and justify; I start my spending diary.</t>
  </si>
  <si>
    <t xml:space="preserve">Needs/wants sort with real catalogues and price tags → justify one choice aloud → spending diary opened.</t>
  </si>
  <si>
    <t xml:space="preserve">income, spending, wages, benefits, payslip, price, budget, bank</t>
  </si>
  <si>
    <t xml:space="preserve">Practice money + tins, payslip, price tags, money-map paper, spending diary; LI student book / e-portfolio. W1 lesson: BUILD_L1_LI_Where_Money_Comes_From.html.</t>
  </si>
  <si>
    <t xml:space="preserve">TA runs wage-packet counting 1:1; money talk stays judgement-free; NO personal family finances recorded.</t>
  </si>
  <si>
    <t xml:space="preserve">Slot 4 · PfA — ASDAN FoodWise</t>
  </si>
  <si>
    <t xml:space="preserve">ASDAN FoodWise — M1 Healthy Eating (Aut1) → M2 Basic Food Safety (Aut2); Section A: 4 challenges over ~10 hrs = 1 credit per module</t>
  </si>
  <si>
    <t xml:space="preserve">Nutrients: I can give food examples of proteins, fats and carbohydrates (1A challenge).</t>
  </si>
  <si>
    <t xml:space="preserve">Nutrient match-up → example hunt through packaging → 1A challenge evidence captured.</t>
  </si>
  <si>
    <t xml:space="preserve">food group, carbohydrate, protein, dairy, balance, label, hygiene, safety</t>
  </si>
  <si>
    <t xml:space="preserve">Eatwell mat + real foods, packaging for traffic-light labels, kitchen, display kit; FoodWise student book. SMSC anchor: World Food Day 16 Oct. W1 lesson: FW_L1_Food_Groups.html.</t>
  </si>
  <si>
    <t xml:space="preserve">TA runs food-handling hygiene checks; allergy list confirmed with the office before EVERY food session; photo evidence per pupil per practical.</t>
  </si>
  <si>
    <t xml:space="preserve">Slot 5 · Community A — Community Project &amp; Vocational</t>
  </si>
  <si>
    <t xml:space="preserve">Community Project &amp; Vocational — sustained local contribution; ASDAN/UAS community evidence. Trips/Visits policy applies to ALL off-site work (approval 4 weeks ahead, min. two staff).</t>
  </si>
  <si>
    <t xml:space="preserve">I can help choose our project and agree our team goal.</t>
  </si>
  <si>
    <t xml:space="preserve">Shortlist pitch round → class vote → team goal agreed and displayed.</t>
  </si>
  <si>
    <t xml:space="preserve">community, project, partner, role, responsibility, contribute, evidence</t>
  </si>
  <si>
    <t xml:space="preserve">Local partner venue; PPE as required; project log; camera. ICT embedded: digital project log.</t>
  </si>
  <si>
    <t xml:space="preserve">TA supports allocated roles and captures the weekly log; off-site checklist confirmed before leaving site every time.</t>
  </si>
  <si>
    <t xml:space="preserve">Slot 6 · Community B — Junior/Young Duke + Social Enterprise</t>
  </si>
  <si>
    <t xml:space="preserve">Junior/Young Duke (Capable Kids) challenge levels + community &amp; social enterprise action · AQA UAS “Personal challenge”.</t>
  </si>
  <si>
    <t xml:space="preserve">I can complete a first-aid/safety challenge.</t>
  </si>
  <si>
    <t xml:space="preserve">First-aid basics carousel (help call, recovery position demo, plasters) → challenge evidence photo.</t>
  </si>
  <si>
    <t xml:space="preserve">challenge, pledge, evidence, resilience, kindness, independence</t>
  </si>
  <si>
    <t xml:space="preserve">Junior/Young Duke booklets (first aid, cookery, eco, independence challenges); challenge log; camera/tablet. SMSC anchors: Anti-Bullying Week 16–20 Nov, World Kindness Day 13 Nov.</t>
  </si>
  <si>
    <t xml:space="preserve">TA witnesses and photographs each challenge attempt; tutor signs off only genuinely met challenges; pledge wall kept current.</t>
  </si>
  <si>
    <t xml:space="preserve">Enrichment &amp; wider opportunities this week   (trips, visitors, themed days, SMSC calendar link, PfA / community)</t>
  </si>
  <si>
    <t xml:space="preserve">Tue 8 Sep: International Literacy Day — shared-reading moment (English).  Whole-school theme assembly: Identity &amp; Belonging.  PfA / community: local walk — regulation &amp; community access; employer / visitor link if available.</t>
  </si>
  <si>
    <t xml:space="preserve">Resources &amp; support to prepare before the week   (printing, kit, bookings, briefing the team)</t>
  </si>
  <si>
    <t xml:space="preserve">Print/prepare: enlarged extract + trait cards, rounding-hill tape + target board, hand lenses &amp; microscopes + prepared slides, UNCRC picture cards + charter poster, belief→action pair cards + artefact table, detective case-file stations + suitcase, coach-tip cards.  Allergies/hygiene: n/a.  Brief TAs: microscope rota is 1:1; charter signing is the week's SMSC photo.</t>
  </si>
  <si>
    <t xml:space="preserve">F = formative  ·  S = summative  ·  PfA = Preparing for Adulthood  </t>
  </si>
  <si>
    <t xml:space="preserve">Student Adaptations</t>
  </si>
  <si>
    <t xml:space="preserve">Name</t>
  </si>
  <si>
    <t xml:space="preserve">Year / KS</t>
  </si>
  <si>
    <t xml:space="preserve">Reading age band</t>
  </si>
  <si>
    <t xml:space="preserve">Communication / sensory needs</t>
  </si>
  <si>
    <t xml:space="preserve">Key scaffolds &amp; adaptations</t>
  </si>
  <si>
    <t xml:space="preserve">EHCP primary outcomes</t>
  </si>
  <si>
    <t xml:space="preserve">PfA focus</t>
  </si>
  <si>
    <t xml:space="preserve">Notes</t>
  </si>
  <si>
    <t xml:space="preserve">Pupil A</t>
  </si>
  <si>
    <t xml:space="preserve">KS4</t>
  </si>
  <si>
    <t xml:space="preserve">Pupil B</t>
  </si>
  <si>
    <t xml:space="preserve">Pupil C</t>
  </si>
  <si>
    <t xml:space="preserve">Pupil D</t>
  </si>
  <si>
    <t xml:space="preserve">Outcome Tracker </t>
  </si>
  <si>
    <t xml:space="preserve">Did everyone make progress and meet the outcome? </t>
  </si>
  <si>
    <t xml:space="preserve">GREEN</t>
  </si>
  <si>
    <t xml:space="preserve">All demonstrated progress &amp; achieved the outcome</t>
  </si>
  <si>
    <t xml:space="preserve">AMBER</t>
  </si>
  <si>
    <t xml:space="preserve">Partly met, revisit in class</t>
  </si>
  <si>
    <t xml:space="preserve">RED</t>
  </si>
  <si>
    <t xml:space="preserve">Not met, pick up through intervention</t>
  </si>
  <si>
    <t xml:space="preserve">Week (w/c)</t>
  </si>
  <si>
    <t xml:space="preserve">Outcome reviewed</t>
  </si>
  <si>
    <t xml:space="preserve">Marking / evidence</t>
  </si>
  <si>
    <t xml:space="preserve">RAG</t>
  </si>
  <si>
    <t xml:space="preserve">Students not yet secure</t>
  </si>
  <si>
    <t xml:space="preserve">Picked up via</t>
  </si>
  <si>
    <t xml:space="preserve">Action &amp; timescale</t>
  </si>
  <si>
    <t xml:space="preserve">Students located key details in a short profile and answered simple retrieval questions.</t>
  </si>
  <si>
    <t xml:space="preserve">I can use a magnifier or microscope to look closely and say what I see.</t>
  </si>
  <si>
    <t xml:space="preserve">PEQ portfolio: photos + scribed voice + witness statements</t>
  </si>
  <si>
    <t xml:space="preserve">PfA — ASDAN LI</t>
  </si>
  <si>
    <t xml:space="preserve">LI portfolio: challenge evidence + skills grid</t>
  </si>
  <si>
    <t xml:space="preserve">PfA — ASDAN FoodWise</t>
  </si>
  <si>
    <t xml:space="preserve">FoodWise portfolio: challenge evidence + photos</t>
  </si>
  <si>
    <t xml:space="preserve">This sheet:</t>
  </si>
  <si>
    <t xml:space="preserve">Green</t>
  </si>
  <si>
    <t xml:space="preserve">Amber</t>
  </si>
  <si>
    <t xml:space="preserve">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</si>
</sst>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yyyy\-mm\-dd\ h:mm:ss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66159"/>
      <name val="Arial"/>
      <family val="0"/>
      <charset val="1"/>
    </font>
    <font>
      <b val="true"/>
      <sz val="9"/>
      <color rgb="FF566159"/>
      <name val="Arial"/>
      <family val="0"/>
      <charset val="1"/>
    </font>
    <font>
      <b val="true"/>
      <sz val="10"/>
      <color rgb="FF1B2420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sz val="9"/>
      <color rgb="FF2E2A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420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1B2420"/>
      <name val="Arial"/>
      <family val="0"/>
      <charset val="1"/>
    </font>
    <font>
      <sz val="9"/>
      <color rgb="FF1B2420"/>
      <name val="Arial"/>
      <family val="2"/>
      <charset val="1"/>
    </font>
    <font>
      <sz val="9"/>
      <color rgb="FF222222"/>
      <name val="Aptos"/>
      <family val="2"/>
      <charset val="1"/>
    </font>
    <font>
      <i val="true"/>
      <sz val="8"/>
      <color rgb="FF5661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5661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DC1"/>
      </bottom>
      <diagonal/>
    </border>
    <border diagonalUp="false" diagonalDown="false"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 diagonalUp="false" diagonalDown="false"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B11" activeCellId="0" sqref="B1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0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5" t="s">
        <v>3</v>
      </c>
      <c r="D4" s="1" t="n">
        <v>2</v>
      </c>
      <c r="F4" s="4" t="s">
        <v>4</v>
      </c>
      <c r="G4" s="5" t="n">
        <v>2</v>
      </c>
    </row>
    <row r="5" customFormat="false" ht="19.5" hidden="false" customHeight="true" outlineLevel="0" collapsed="false">
      <c r="A5" s="4" t="s">
        <v>5</v>
      </c>
      <c r="B5" s="5" t="s">
        <v>6</v>
      </c>
      <c r="F5" s="4" t="s">
        <v>7</v>
      </c>
      <c r="G5" s="5"/>
    </row>
    <row r="6" customFormat="false" ht="19.5" hidden="false" customHeight="true" outlineLevel="0" collapsed="false">
      <c r="A6" s="4" t="s">
        <v>8</v>
      </c>
      <c r="B6" s="6" t="str">
        <f aca="false">IF(B5="Autumn","Identity &amp; Belonging",IF(B5="Spring","Resilience &amp; Change",IF(B5="Summer","Our World, My Future","pick a term")))</f>
        <v>Identity &amp; Belonging</v>
      </c>
      <c r="C6" s="6"/>
      <c r="D6" s="6"/>
      <c r="F6" s="4" t="s">
        <v>9</v>
      </c>
      <c r="G6" s="5"/>
    </row>
    <row r="7" customFormat="false" ht="19.5" hidden="false" customHeight="true" outlineLevel="0" collapsed="false">
      <c r="A7" s="4" t="s">
        <v>10</v>
      </c>
      <c r="B7" s="7" t="n">
        <v>46272</v>
      </c>
      <c r="F7" s="4" t="s">
        <v>11</v>
      </c>
      <c r="G7" s="5"/>
    </row>
    <row r="8" customFormat="false" ht="33.75" hidden="false" customHeight="true" outlineLevel="0" collapsed="false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30" hidden="false" customHeight="true" outlineLevel="0" collapsed="false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</row>
    <row r="10" customFormat="false" ht="45.75" hidden="false" customHeight="true" outlineLevel="0" collapsed="false">
      <c r="A10" s="10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2" t="s">
        <v>29</v>
      </c>
      <c r="H10" s="11" t="s">
        <v>30</v>
      </c>
      <c r="I10" s="11" t="s">
        <v>31</v>
      </c>
      <c r="J10" s="11"/>
    </row>
    <row r="11" customFormat="false" ht="330" hidden="false" customHeight="true" outlineLevel="0" collapsed="false">
      <c r="A11" s="13" t="s">
        <v>32</v>
      </c>
      <c r="B11" s="14" t="s">
        <v>33</v>
      </c>
      <c r="C11" s="14" t="s">
        <v>34</v>
      </c>
      <c r="D11" s="15" t="s">
        <v>35</v>
      </c>
      <c r="E11" s="15" t="s">
        <v>36</v>
      </c>
      <c r="F11" s="15" t="s">
        <v>37</v>
      </c>
      <c r="G11" s="14" t="s">
        <v>29</v>
      </c>
      <c r="H11" s="15" t="s">
        <v>38</v>
      </c>
      <c r="I11" s="15" t="s">
        <v>39</v>
      </c>
      <c r="J11" s="14" t="s">
        <v>40</v>
      </c>
    </row>
    <row r="12" customFormat="false" ht="339.75" hidden="false" customHeight="true" outlineLevel="0" collapsed="false">
      <c r="A12" s="10" t="s">
        <v>41</v>
      </c>
      <c r="B12" s="12" t="s">
        <v>42</v>
      </c>
      <c r="C12" s="12" t="s">
        <v>43</v>
      </c>
      <c r="D12" s="12" t="s">
        <v>44</v>
      </c>
      <c r="E12" s="12" t="s">
        <v>45</v>
      </c>
      <c r="F12" s="12" t="s">
        <v>46</v>
      </c>
      <c r="G12" s="12" t="s">
        <v>29</v>
      </c>
      <c r="H12" s="12" t="s">
        <v>47</v>
      </c>
      <c r="I12" s="12" t="s">
        <v>48</v>
      </c>
      <c r="J12" s="12" t="s">
        <v>49</v>
      </c>
    </row>
    <row r="13" customFormat="false" ht="330" hidden="false" customHeight="true" outlineLevel="0" collapsed="false">
      <c r="A13" s="13" t="s">
        <v>50</v>
      </c>
      <c r="B13" s="14" t="s">
        <v>51</v>
      </c>
      <c r="C13" s="14" t="s">
        <v>52</v>
      </c>
      <c r="D13" s="14" t="s">
        <v>53</v>
      </c>
      <c r="E13" s="14" t="s">
        <v>54</v>
      </c>
      <c r="F13" s="14" t="s">
        <v>55</v>
      </c>
      <c r="G13" s="14" t="s">
        <v>29</v>
      </c>
      <c r="H13" s="14" t="s">
        <v>56</v>
      </c>
      <c r="I13" s="14" t="s">
        <v>57</v>
      </c>
      <c r="J13" s="14" t="s">
        <v>58</v>
      </c>
    </row>
    <row r="14" customFormat="false" ht="330" hidden="false" customHeight="true" outlineLevel="0" collapsed="false">
      <c r="A14" s="10" t="s">
        <v>59</v>
      </c>
      <c r="B14" s="12" t="s">
        <v>60</v>
      </c>
      <c r="C14" s="16" t="s">
        <v>61</v>
      </c>
      <c r="D14" s="12" t="s">
        <v>62</v>
      </c>
      <c r="E14" s="12" t="s">
        <v>63</v>
      </c>
      <c r="F14" s="12" t="s">
        <v>64</v>
      </c>
      <c r="G14" s="12" t="s">
        <v>29</v>
      </c>
      <c r="H14" s="12" t="s">
        <v>65</v>
      </c>
      <c r="I14" s="12" t="s">
        <v>66</v>
      </c>
      <c r="J14" s="12" t="s">
        <v>67</v>
      </c>
    </row>
    <row r="15" customFormat="false" ht="330" hidden="false" customHeight="true" outlineLevel="0" collapsed="false">
      <c r="A15" s="13" t="s">
        <v>68</v>
      </c>
      <c r="B15" s="14" t="s">
        <v>69</v>
      </c>
      <c r="C15" s="14" t="s">
        <v>70</v>
      </c>
      <c r="D15" s="14" t="s">
        <v>71</v>
      </c>
      <c r="E15" s="14" t="s">
        <v>72</v>
      </c>
      <c r="F15" s="14" t="s">
        <v>73</v>
      </c>
      <c r="G15" s="14" t="s">
        <v>29</v>
      </c>
      <c r="H15" s="14" t="s">
        <v>74</v>
      </c>
      <c r="I15" s="14" t="s">
        <v>75</v>
      </c>
      <c r="J15" s="14" t="s">
        <v>76</v>
      </c>
    </row>
    <row r="16" customFormat="false" ht="330" hidden="false" customHeight="true" outlineLevel="0" collapsed="false">
      <c r="A16" s="10" t="s">
        <v>77</v>
      </c>
      <c r="B16" s="12" t="s">
        <v>78</v>
      </c>
      <c r="C16" s="12" t="s">
        <v>79</v>
      </c>
      <c r="D16" s="12" t="s">
        <v>80</v>
      </c>
      <c r="E16" s="12" t="s">
        <v>81</v>
      </c>
      <c r="F16" s="12" t="s">
        <v>82</v>
      </c>
      <c r="G16" s="12" t="s">
        <v>83</v>
      </c>
      <c r="H16" s="12" t="s">
        <v>84</v>
      </c>
      <c r="I16" s="12" t="s">
        <v>85</v>
      </c>
      <c r="J16" s="12" t="s">
        <v>86</v>
      </c>
    </row>
    <row r="17" customFormat="false" ht="45.75" hidden="false" customHeight="true" outlineLevel="0" collapsed="false">
      <c r="A17" s="13" t="s">
        <v>87</v>
      </c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45.75" hidden="false" customHeight="true" outlineLevel="0" collapsed="false">
      <c r="A18" s="10" t="s">
        <v>88</v>
      </c>
      <c r="B18" s="12" t="s">
        <v>89</v>
      </c>
      <c r="C18" s="12" t="s">
        <v>90</v>
      </c>
      <c r="D18" s="12" t="s">
        <v>91</v>
      </c>
      <c r="E18" s="12" t="s">
        <v>92</v>
      </c>
      <c r="F18" s="12" t="s">
        <v>93</v>
      </c>
      <c r="G18" s="12" t="s">
        <v>29</v>
      </c>
      <c r="H18" s="12" t="s">
        <v>94</v>
      </c>
      <c r="I18" s="12" t="s">
        <v>95</v>
      </c>
      <c r="J18" s="12"/>
    </row>
    <row r="19" customFormat="false" ht="45.75" hidden="false" customHeight="true" outlineLevel="0" collapsed="false">
      <c r="A19" s="10" t="s">
        <v>96</v>
      </c>
      <c r="B19" s="12" t="s">
        <v>97</v>
      </c>
      <c r="C19" s="12" t="s">
        <v>98</v>
      </c>
      <c r="D19" s="12" t="s">
        <v>99</v>
      </c>
      <c r="E19" s="12" t="s">
        <v>100</v>
      </c>
      <c r="F19" s="12" t="s">
        <v>101</v>
      </c>
      <c r="G19" s="12" t="s">
        <v>102</v>
      </c>
      <c r="H19" s="12" t="s">
        <v>103</v>
      </c>
      <c r="I19" s="12" t="s">
        <v>104</v>
      </c>
      <c r="J19" s="12"/>
    </row>
    <row r="20" customFormat="false" ht="45.75" hidden="false" customHeight="true" outlineLevel="0" collapsed="false">
      <c r="A20" s="10" t="s">
        <v>105</v>
      </c>
      <c r="B20" s="12" t="s">
        <v>106</v>
      </c>
      <c r="C20" s="12" t="s">
        <v>107</v>
      </c>
      <c r="D20" s="12" t="s">
        <v>108</v>
      </c>
      <c r="E20" s="12" t="s">
        <v>109</v>
      </c>
      <c r="F20" s="12" t="s">
        <v>110</v>
      </c>
      <c r="G20" s="12" t="s">
        <v>102</v>
      </c>
      <c r="H20" s="12" t="s">
        <v>103</v>
      </c>
      <c r="I20" s="12" t="s">
        <v>111</v>
      </c>
      <c r="J20" s="12"/>
    </row>
    <row r="21" customFormat="false" ht="45.75" hidden="false" customHeight="true" outlineLevel="0" collapsed="false">
      <c r="A21" s="10" t="s">
        <v>112</v>
      </c>
      <c r="B21" s="12" t="s">
        <v>113</v>
      </c>
      <c r="C21" s="12" t="s">
        <v>114</v>
      </c>
      <c r="D21" s="12" t="s">
        <v>115</v>
      </c>
      <c r="E21" s="12" t="s">
        <v>116</v>
      </c>
      <c r="F21" s="12" t="s">
        <v>117</v>
      </c>
      <c r="G21" s="12" t="s">
        <v>102</v>
      </c>
      <c r="H21" s="12" t="s">
        <v>103</v>
      </c>
      <c r="I21" s="12" t="s">
        <v>118</v>
      </c>
      <c r="J21" s="12"/>
    </row>
    <row r="22" customFormat="false" ht="45.75" hidden="false" customHeight="true" outlineLevel="0" collapsed="false">
      <c r="A22" s="10" t="s">
        <v>119</v>
      </c>
      <c r="B22" s="12" t="s">
        <v>120</v>
      </c>
      <c r="C22" s="12" t="s">
        <v>121</v>
      </c>
      <c r="D22" s="12" t="s">
        <v>122</v>
      </c>
      <c r="E22" s="12" t="s">
        <v>123</v>
      </c>
      <c r="F22" s="12" t="s">
        <v>124</v>
      </c>
      <c r="G22" s="12" t="s">
        <v>102</v>
      </c>
      <c r="H22" s="12" t="s">
        <v>103</v>
      </c>
      <c r="I22" s="12" t="s">
        <v>125</v>
      </c>
      <c r="J22" s="12"/>
    </row>
    <row r="23" customFormat="false" ht="45.75" hidden="false" customHeight="true" outlineLevel="0" collapsed="false">
      <c r="A23" s="10" t="s">
        <v>126</v>
      </c>
      <c r="B23" s="12" t="s">
        <v>127</v>
      </c>
      <c r="C23" s="12" t="s">
        <v>128</v>
      </c>
      <c r="D23" s="12" t="s">
        <v>129</v>
      </c>
      <c r="E23" s="12" t="s">
        <v>130</v>
      </c>
      <c r="F23" s="12" t="s">
        <v>131</v>
      </c>
      <c r="G23" s="12" t="s">
        <v>102</v>
      </c>
      <c r="H23" s="12" t="s">
        <v>103</v>
      </c>
      <c r="I23" s="12" t="s">
        <v>132</v>
      </c>
      <c r="J23" s="12"/>
    </row>
    <row r="24" customFormat="false" ht="45.75" hidden="false" customHeight="true" outlineLevel="0" collapsed="false">
      <c r="A24" s="10" t="s">
        <v>133</v>
      </c>
      <c r="B24" s="12" t="s">
        <v>134</v>
      </c>
      <c r="C24" s="12" t="s">
        <v>135</v>
      </c>
      <c r="D24" s="12" t="s">
        <v>136</v>
      </c>
      <c r="E24" s="12" t="s">
        <v>137</v>
      </c>
      <c r="F24" s="12" t="s">
        <v>138</v>
      </c>
      <c r="G24" s="12" t="s">
        <v>102</v>
      </c>
      <c r="H24" s="12" t="s">
        <v>103</v>
      </c>
      <c r="I24" s="12" t="s">
        <v>139</v>
      </c>
      <c r="J24" s="12"/>
    </row>
    <row r="26" customFormat="false" ht="18" hidden="false" customHeight="true" outlineLevel="0" collapsed="false">
      <c r="A26" s="17" t="s">
        <v>140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39.75" hidden="false" customHeight="true" outlineLevel="0" collapsed="false">
      <c r="A27" s="18" t="s">
        <v>141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8" hidden="false" customHeight="true" outlineLevel="0" collapsed="false">
      <c r="A28" s="17" t="s">
        <v>142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39.75" hidden="false" customHeight="true" outlineLevel="0" collapsed="false">
      <c r="A29" s="19" t="s">
        <v>143</v>
      </c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8" hidden="false" customHeight="true" outlineLevel="0" collapsed="false">
      <c r="A30" s="20" t="s">
        <v>144</v>
      </c>
      <c r="B30" s="20"/>
      <c r="C30" s="20"/>
      <c r="D30" s="20"/>
      <c r="E30" s="20"/>
      <c r="F30" s="20"/>
      <c r="G30" s="20"/>
      <c r="H30" s="20"/>
      <c r="I30" s="20"/>
      <c r="J30" s="20"/>
    </row>
  </sheetData>
  <mergeCells count="9">
    <mergeCell ref="A1:J1"/>
    <mergeCell ref="A2:J2"/>
    <mergeCell ref="B6:D6"/>
    <mergeCell ref="A8:J8"/>
    <mergeCell ref="A26:J26"/>
    <mergeCell ref="A27:J27"/>
    <mergeCell ref="A28:J28"/>
    <mergeCell ref="A29:J29"/>
    <mergeCell ref="A30:J30"/>
  </mergeCells>
  <dataValidations count="4">
    <dataValidation allowBlank="true" error="Pick a value from the list." errorStyle="stop" errorTitle="Choose from the list" operator="between" showDropDown="false" showErrorMessage="false" showInputMessage="false" sqref="B4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B5" type="list">
      <formula1>"Autumn,Spring,Summer"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A10:A18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G10:G18" type="list">
      <formula1>"F,S,F + 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7" min="6" style="1" width="36"/>
    <col collapsed="false" customWidth="true" hidden="false" outlineLevel="0" max="8" min="8" style="1" width="22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1" t="s">
        <v>145</v>
      </c>
      <c r="B1" s="21"/>
      <c r="C1" s="21"/>
      <c r="D1" s="21"/>
      <c r="E1" s="21"/>
      <c r="F1" s="21"/>
      <c r="G1" s="21"/>
      <c r="H1" s="21"/>
      <c r="I1" s="21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9" t="s">
        <v>146</v>
      </c>
      <c r="B4" s="9" t="s">
        <v>2</v>
      </c>
      <c r="C4" s="9" t="s">
        <v>147</v>
      </c>
      <c r="D4" s="9" t="s">
        <v>148</v>
      </c>
      <c r="E4" s="9" t="s">
        <v>149</v>
      </c>
      <c r="F4" s="9" t="s">
        <v>150</v>
      </c>
      <c r="G4" s="9" t="s">
        <v>151</v>
      </c>
      <c r="H4" s="9" t="s">
        <v>152</v>
      </c>
      <c r="I4" s="9" t="s">
        <v>153</v>
      </c>
    </row>
    <row r="5" customFormat="false" ht="174.75" hidden="false" customHeight="true" outlineLevel="0" collapsed="false">
      <c r="A5" s="10" t="s">
        <v>154</v>
      </c>
      <c r="B5" s="12" t="s">
        <v>3</v>
      </c>
      <c r="C5" s="12" t="s">
        <v>155</v>
      </c>
      <c r="D5" s="22"/>
      <c r="E5" s="22"/>
      <c r="F5" s="22"/>
      <c r="G5" s="22"/>
      <c r="H5" s="22"/>
      <c r="I5" s="22"/>
    </row>
    <row r="6" customFormat="false" ht="174.75" hidden="false" customHeight="true" outlineLevel="0" collapsed="false">
      <c r="A6" s="10" t="s">
        <v>156</v>
      </c>
      <c r="B6" s="12" t="s">
        <v>3</v>
      </c>
      <c r="C6" s="12" t="s">
        <v>155</v>
      </c>
      <c r="D6" s="22"/>
      <c r="E6" s="22"/>
      <c r="F6" s="22"/>
      <c r="G6" s="22"/>
      <c r="H6" s="22"/>
      <c r="I6" s="22"/>
    </row>
    <row r="7" customFormat="false" ht="174.75" hidden="false" customHeight="true" outlineLevel="0" collapsed="false">
      <c r="A7" s="10" t="s">
        <v>157</v>
      </c>
      <c r="B7" s="12" t="s">
        <v>3</v>
      </c>
      <c r="C7" s="12" t="s">
        <v>155</v>
      </c>
      <c r="D7" s="22"/>
      <c r="E7" s="22"/>
      <c r="F7" s="22"/>
      <c r="G7" s="22"/>
      <c r="H7" s="22"/>
      <c r="I7" s="22"/>
    </row>
    <row r="8" customFormat="false" ht="174.75" hidden="false" customHeight="true" outlineLevel="0" collapsed="false">
      <c r="A8" s="10" t="s">
        <v>158</v>
      </c>
      <c r="B8" s="12" t="s">
        <v>3</v>
      </c>
      <c r="C8" s="12" t="s">
        <v>155</v>
      </c>
      <c r="D8" s="22"/>
      <c r="E8" s="22"/>
      <c r="F8" s="22"/>
      <c r="G8" s="22"/>
      <c r="H8" s="22"/>
      <c r="I8" s="22"/>
    </row>
    <row r="9" customFormat="false" ht="30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3"/>
    </row>
    <row r="10" customFormat="false" ht="30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</row>
    <row r="11" customFormat="false" ht="30" hidden="false" customHeight="true" outlineLevel="0" collapsed="false">
      <c r="A11" s="23"/>
      <c r="B11" s="23"/>
      <c r="C11" s="23"/>
      <c r="D11" s="23"/>
      <c r="E11" s="23"/>
      <c r="F11" s="23"/>
      <c r="G11" s="23"/>
      <c r="H11" s="23"/>
      <c r="I11" s="23"/>
    </row>
    <row r="12" customFormat="false" ht="30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</row>
    <row r="13" customFormat="false" ht="30" hidden="false" customHeight="true" outlineLevel="0" collapsed="false">
      <c r="A13" s="23"/>
      <c r="B13" s="23"/>
      <c r="C13" s="23"/>
      <c r="D13" s="23"/>
      <c r="E13" s="23"/>
      <c r="F13" s="23"/>
      <c r="G13" s="23"/>
      <c r="H13" s="23"/>
      <c r="I13" s="23"/>
    </row>
    <row r="14" customFormat="false" ht="30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</row>
    <row r="15" customFormat="false" ht="30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  <c r="I15" s="23"/>
    </row>
    <row r="16" customFormat="false" ht="30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</row>
    <row r="17" customFormat="false" ht="30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</row>
    <row r="18" customFormat="false" ht="30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  <c r="I18" s="24"/>
    </row>
    <row r="19" customFormat="false" ht="30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  <c r="I19" s="23"/>
    </row>
  </sheetData>
  <mergeCells count="2">
    <mergeCell ref="A1:I1"/>
    <mergeCell ref="A2:I2"/>
  </mergeCells>
  <conditionalFormatting sqref="B5:B19">
    <cfRule type="cellIs" priority="2" operator="equal" aboveAverage="0" equalAverage="0" bottom="0" percent="0" rank="0" text="" dxfId="0">
      <formula>"BUILD"</formula>
    </cfRule>
    <cfRule type="cellIs" priority="3" operator="equal" aboveAverage="0" equalAverage="0" bottom="0" percent="0" rank="0" text="" dxfId="1">
      <formula>"GROW"</formula>
    </cfRule>
    <cfRule type="cellIs" priority="4" operator="equal" aboveAverage="0" equalAverage="0" bottom="0" percent="0" rank="0" text="" dxfId="2">
      <formula>"LAUNCH"</formula>
    </cfRule>
  </conditionalFormatting>
  <dataValidations count="1">
    <dataValidation allowBlank="true" error="Pick a value from the list." errorStyle="stop" errorTitle="Choose from the list" operator="between" showDropDown="false" showErrorMessage="false" showInputMessage="false" sqref="B5:B19" type="list">
      <formula1>"BUILD,GROW,LAUNCH"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7" activeCellId="0" sqref="D7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5" t="s">
        <v>159</v>
      </c>
      <c r="B1" s="25"/>
      <c r="C1" s="25"/>
      <c r="D1" s="25"/>
      <c r="E1" s="25"/>
      <c r="F1" s="25"/>
      <c r="G1" s="25"/>
      <c r="H1" s="25"/>
      <c r="I1" s="25"/>
    </row>
    <row r="2" customFormat="false" ht="14.25" hidden="false" customHeight="true" outlineLevel="0" collapsed="false">
      <c r="A2" s="26" t="s">
        <v>160</v>
      </c>
      <c r="B2" s="26"/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A3" s="27" t="s">
        <v>161</v>
      </c>
      <c r="B3" s="28" t="s">
        <v>162</v>
      </c>
      <c r="C3" s="28"/>
      <c r="D3" s="29" t="s">
        <v>163</v>
      </c>
      <c r="E3" s="28" t="s">
        <v>164</v>
      </c>
      <c r="F3" s="28"/>
      <c r="G3" s="30" t="s">
        <v>165</v>
      </c>
      <c r="H3" s="28" t="s">
        <v>166</v>
      </c>
      <c r="I3" s="28"/>
    </row>
    <row r="5" customFormat="false" ht="27.75" hidden="false" customHeight="true" outlineLevel="0" collapsed="false">
      <c r="A5" s="9" t="s">
        <v>167</v>
      </c>
      <c r="B5" s="9" t="s">
        <v>2</v>
      </c>
      <c r="C5" s="9" t="s">
        <v>13</v>
      </c>
      <c r="D5" s="9" t="s">
        <v>168</v>
      </c>
      <c r="E5" s="9" t="s">
        <v>169</v>
      </c>
      <c r="F5" s="9" t="s">
        <v>170</v>
      </c>
      <c r="G5" s="9" t="s">
        <v>171</v>
      </c>
      <c r="H5" s="9" t="s">
        <v>172</v>
      </c>
      <c r="I5" s="9" t="s">
        <v>173</v>
      </c>
    </row>
    <row r="6" customFormat="false" ht="30" hidden="false" customHeight="true" outlineLevel="0" collapsed="false">
      <c r="A6" s="31" t="n">
        <v>46272</v>
      </c>
      <c r="B6" s="32" t="s">
        <v>3</v>
      </c>
      <c r="C6" s="32" t="s">
        <v>23</v>
      </c>
      <c r="D6" s="11" t="s">
        <v>174</v>
      </c>
      <c r="E6" s="24"/>
      <c r="F6" s="24"/>
      <c r="G6" s="24"/>
      <c r="H6" s="24"/>
      <c r="I6" s="24"/>
    </row>
    <row r="7" customFormat="false" ht="30" hidden="false" customHeight="true" outlineLevel="0" collapsed="false">
      <c r="A7" s="31" t="n">
        <v>46272</v>
      </c>
      <c r="B7" s="12" t="s">
        <v>3</v>
      </c>
      <c r="C7" s="32" t="s">
        <v>32</v>
      </c>
      <c r="D7" s="14" t="s">
        <v>34</v>
      </c>
      <c r="E7" s="24"/>
      <c r="F7" s="24"/>
      <c r="G7" s="24"/>
      <c r="H7" s="24"/>
      <c r="I7" s="24"/>
    </row>
    <row r="8" customFormat="false" ht="30" hidden="false" customHeight="true" outlineLevel="0" collapsed="false">
      <c r="A8" s="31" t="n">
        <v>46272</v>
      </c>
      <c r="B8" s="12" t="s">
        <v>3</v>
      </c>
      <c r="C8" s="12" t="s">
        <v>41</v>
      </c>
      <c r="D8" s="12" t="s">
        <v>175</v>
      </c>
      <c r="E8" s="12"/>
      <c r="F8" s="12"/>
      <c r="G8" s="12"/>
      <c r="H8" s="12"/>
      <c r="I8" s="12"/>
    </row>
    <row r="9" customFormat="false" ht="30" hidden="false" customHeight="true" outlineLevel="0" collapsed="false">
      <c r="A9" s="31" t="n">
        <v>46272</v>
      </c>
      <c r="B9" s="12" t="s">
        <v>3</v>
      </c>
      <c r="C9" s="12" t="s">
        <v>50</v>
      </c>
      <c r="D9" s="12" t="s">
        <v>52</v>
      </c>
      <c r="E9" s="12"/>
      <c r="F9" s="12"/>
      <c r="G9" s="12"/>
      <c r="H9" s="12"/>
      <c r="I9" s="12"/>
    </row>
    <row r="10" customFormat="false" ht="30" hidden="false" customHeight="true" outlineLevel="0" collapsed="false">
      <c r="A10" s="31" t="n">
        <v>46272</v>
      </c>
      <c r="B10" s="12" t="s">
        <v>3</v>
      </c>
      <c r="C10" s="12" t="s">
        <v>68</v>
      </c>
      <c r="D10" s="12" t="s">
        <v>70</v>
      </c>
      <c r="E10" s="12"/>
      <c r="F10" s="12"/>
      <c r="G10" s="12"/>
      <c r="H10" s="12"/>
      <c r="I10" s="12"/>
    </row>
    <row r="11" customFormat="false" ht="30" hidden="false" customHeight="true" outlineLevel="0" collapsed="false">
      <c r="A11" s="31" t="n">
        <v>46272</v>
      </c>
      <c r="B11" s="12" t="s">
        <v>3</v>
      </c>
      <c r="C11" s="12" t="s">
        <v>77</v>
      </c>
      <c r="D11" s="12" t="s">
        <v>79</v>
      </c>
      <c r="E11" s="12"/>
      <c r="F11" s="12"/>
      <c r="G11" s="12"/>
      <c r="H11" s="12"/>
      <c r="I11" s="12"/>
    </row>
    <row r="12" customFormat="false" ht="30" hidden="false" customHeight="true" outlineLevel="0" collapsed="false">
      <c r="A12" s="31" t="n">
        <v>46272</v>
      </c>
      <c r="B12" s="12" t="s">
        <v>3</v>
      </c>
      <c r="C12" s="33" t="s">
        <v>59</v>
      </c>
      <c r="D12" s="16" t="s">
        <v>61</v>
      </c>
      <c r="E12" s="23"/>
      <c r="F12" s="23"/>
      <c r="G12" s="23"/>
      <c r="H12" s="23"/>
      <c r="I12" s="23"/>
    </row>
    <row r="13" customFormat="false" ht="30" hidden="false" customHeight="true" outlineLevel="0" collapsed="false">
      <c r="A13" s="34" t="n">
        <v>46272</v>
      </c>
      <c r="B13" s="33" t="s">
        <v>3</v>
      </c>
      <c r="C13" s="33" t="s">
        <v>88</v>
      </c>
      <c r="D13" s="23" t="s">
        <v>90</v>
      </c>
      <c r="E13" s="23" t="s">
        <v>176</v>
      </c>
      <c r="F13" s="23"/>
      <c r="G13" s="23"/>
      <c r="H13" s="23"/>
      <c r="I13" s="23"/>
    </row>
    <row r="14" customFormat="false" ht="30" hidden="false" customHeight="true" outlineLevel="0" collapsed="false">
      <c r="A14" s="35" t="n">
        <v>46272</v>
      </c>
      <c r="B14" s="32" t="s">
        <v>3</v>
      </c>
      <c r="C14" s="32" t="s">
        <v>177</v>
      </c>
      <c r="D14" s="24" t="s">
        <v>114</v>
      </c>
      <c r="E14" s="24" t="s">
        <v>178</v>
      </c>
      <c r="F14" s="24"/>
      <c r="G14" s="24"/>
      <c r="H14" s="24"/>
      <c r="I14" s="24"/>
    </row>
    <row r="15" customFormat="false" ht="25.5" hidden="false" customHeight="true" outlineLevel="0" collapsed="false">
      <c r="A15" s="34" t="n">
        <v>46272</v>
      </c>
      <c r="B15" s="33" t="s">
        <v>3</v>
      </c>
      <c r="C15" s="33" t="s">
        <v>179</v>
      </c>
      <c r="D15" s="23" t="s">
        <v>121</v>
      </c>
      <c r="E15" s="23" t="s">
        <v>180</v>
      </c>
      <c r="F15" s="23"/>
      <c r="G15" s="23"/>
      <c r="H15" s="23"/>
      <c r="I15" s="23"/>
    </row>
    <row r="16" customFormat="false" ht="25.5" hidden="false" customHeight="true" outlineLevel="0" collapsed="false">
      <c r="A16" s="24"/>
      <c r="B16" s="32"/>
      <c r="C16" s="32"/>
      <c r="D16" s="24"/>
      <c r="E16" s="24"/>
      <c r="F16" s="24"/>
      <c r="G16" s="24"/>
      <c r="H16" s="24"/>
      <c r="I16" s="24"/>
    </row>
    <row r="17" customFormat="false" ht="25.5" hidden="false" customHeight="true" outlineLevel="0" collapsed="false">
      <c r="A17" s="23"/>
      <c r="B17" s="33"/>
      <c r="C17" s="33"/>
      <c r="D17" s="23"/>
      <c r="E17" s="23"/>
      <c r="F17" s="23"/>
      <c r="G17" s="23"/>
      <c r="H17" s="23"/>
      <c r="I17" s="23"/>
    </row>
    <row r="18" customFormat="false" ht="25.5" hidden="false" customHeight="true" outlineLevel="0" collapsed="false">
      <c r="A18" s="24"/>
      <c r="B18" s="32"/>
      <c r="C18" s="32"/>
      <c r="D18" s="24"/>
      <c r="E18" s="24"/>
      <c r="F18" s="24"/>
      <c r="G18" s="24"/>
      <c r="H18" s="24"/>
      <c r="I18" s="24"/>
    </row>
    <row r="19" customFormat="false" ht="25.5" hidden="false" customHeight="true" outlineLevel="0" collapsed="false">
      <c r="A19" s="23"/>
      <c r="B19" s="33"/>
      <c r="C19" s="33"/>
      <c r="D19" s="23"/>
      <c r="E19" s="23"/>
      <c r="F19" s="23"/>
      <c r="G19" s="23"/>
      <c r="H19" s="23"/>
      <c r="I19" s="23"/>
    </row>
    <row r="20" customFormat="false" ht="25.5" hidden="false" customHeight="true" outlineLevel="0" collapsed="false">
      <c r="A20" s="24"/>
      <c r="B20" s="32"/>
      <c r="C20" s="32"/>
      <c r="D20" s="24"/>
      <c r="E20" s="24"/>
      <c r="F20" s="24"/>
      <c r="G20" s="24"/>
      <c r="H20" s="24"/>
      <c r="I20" s="24"/>
    </row>
    <row r="21" customFormat="false" ht="25.5" hidden="false" customHeight="true" outlineLevel="0" collapsed="false">
      <c r="A21" s="23"/>
      <c r="B21" s="33"/>
      <c r="C21" s="33"/>
      <c r="D21" s="23"/>
      <c r="E21" s="23"/>
      <c r="F21" s="23"/>
      <c r="G21" s="23"/>
      <c r="H21" s="23"/>
      <c r="I21" s="23"/>
    </row>
    <row r="22" customFormat="false" ht="25.5" hidden="false" customHeight="true" outlineLevel="0" collapsed="false"/>
    <row r="23" customFormat="false" ht="25.5" hidden="false" customHeight="true" outlineLevel="0" collapsed="false">
      <c r="C23" s="36" t="s">
        <v>181</v>
      </c>
      <c r="D23" s="37" t="n">
        <f aca="false">COUNTIF($F$8:$F$18,"Green")</f>
        <v>0</v>
      </c>
      <c r="E23" s="38" t="n">
        <f aca="false">COUNTIF($F$8:$F$18,"Amber")</f>
        <v>0</v>
      </c>
      <c r="F23" s="39" t="n">
        <f aca="false">COUNTIF($F$8:$F$18,"Red")</f>
        <v>0</v>
      </c>
    </row>
    <row r="24" customFormat="false" ht="25.5" hidden="false" customHeight="true" outlineLevel="0" collapsed="false">
      <c r="D24" s="40" t="s">
        <v>182</v>
      </c>
      <c r="E24" s="40" t="s">
        <v>183</v>
      </c>
      <c r="F24" s="40" t="s">
        <v>184</v>
      </c>
    </row>
    <row r="25" customFormat="false" ht="25.5" hidden="false" customHeight="true" outlineLevel="0" collapsed="false"/>
    <row r="26" customFormat="false" ht="25.5" hidden="false" customHeight="true" outlineLevel="0" collapsed="false"/>
  </sheetData>
  <mergeCells count="5">
    <mergeCell ref="A1:I1"/>
    <mergeCell ref="A2:I2"/>
    <mergeCell ref="B3:C3"/>
    <mergeCell ref="E3:F3"/>
    <mergeCell ref="H3:I3"/>
  </mergeCells>
  <conditionalFormatting sqref="F6:F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3">
      <formula>"Amber"</formula>
    </cfRule>
    <cfRule type="cellIs" priority="4" operator="equal" aboveAverage="0" equalAverage="0" bottom="0" percent="0" rank="0" text="" dxfId="4">
      <formula>"Red"</formula>
    </cfRule>
  </conditionalFormatting>
  <dataValidations count="4">
    <dataValidation allowBlank="true" error="Pick a value from the list." errorStyle="stop" errorTitle="Choose from the list" operator="between" showDropDown="false" showErrorMessage="false" showInputMessage="false" sqref="B6:B26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C6:C26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F6:F26" type="list">
      <formula1>"Green,Amber,Red"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H6:H26" type="list">
      <formula1>"Achieved (move on),Revisit in class,Intervention"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2026-06-22T07:46:21Z</dcterms:created>
  <dc:creator>openpyxl</dc:creator>
  <dc:description/>
  <dc:language>en-US</dc:language>
  <cp:lastModifiedBy>Helen Stewart</cp:lastModifiedBy>
  <dcterms:modified xsi:type="dcterms:W3CDTF">2026-07-15T11:04:50Z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0x0101002C6E38C4B2056147BFEE88C7F682B392</vt:lpwstr>
  </property>
  <property fmtid="{D5CDD505-2E9C-101B-9397-08002B2CF9AE}" pid="3" name="MediaServiceImageTags">
    <vt:lpwstr/>
  </property>
</Properties>
</file>