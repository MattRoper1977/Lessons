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name="Weekly Plan" sheetId="1" state="visible" r:id="rId1"/>
    <sheet name="Students" sheetId="2" state="visible" r:id="rId2"/>
    <sheet name="Outcomes RAG"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2">
    <numFmt numFmtId="164" formatCode="d\-mmm\-yy"/>
    <numFmt numFmtId="165" formatCode="yyyy\-mm\-dd\ h:mm:ss"/>
  </numFmts>
  <fonts count="23">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8"/>
    </font>
    <font>
      <name val="Arial"/>
      <charset val="1"/>
      <family val="0"/>
      <color rgb="FF566159"/>
      <sz val="10"/>
    </font>
    <font>
      <name val="Arial"/>
      <charset val="1"/>
      <family val="0"/>
      <b val="1"/>
      <color rgb="FF566159"/>
      <sz val="9"/>
    </font>
    <font>
      <name val="Arial"/>
      <charset val="1"/>
      <family val="0"/>
      <b val="1"/>
      <color rgb="FF1B2420"/>
      <sz val="10"/>
    </font>
    <font>
      <name val="Arial"/>
      <charset val="1"/>
      <family val="0"/>
      <b val="1"/>
      <color rgb="FF2E7D4F"/>
      <sz val="10"/>
    </font>
    <font>
      <name val="Arial"/>
      <charset val="1"/>
      <family val="0"/>
      <color rgb="FF2E2A5D"/>
      <sz val="9"/>
    </font>
    <font>
      <name val="Arial"/>
      <charset val="1"/>
      <family val="0"/>
      <b val="1"/>
      <color rgb="FFFFFFFF"/>
      <sz val="9"/>
    </font>
    <font>
      <name val="Arial"/>
      <charset val="1"/>
      <family val="0"/>
      <b val="1"/>
      <color rgb="FF1B2420"/>
      <sz val="9"/>
    </font>
    <font>
      <name val="Arial"/>
      <charset val="1"/>
      <family val="2"/>
      <color rgb="FF000000"/>
      <sz val="9"/>
    </font>
    <font>
      <name val="Arial"/>
      <charset val="1"/>
      <family val="0"/>
      <color rgb="FF1B2420"/>
      <sz val="9"/>
    </font>
    <font>
      <name val="Arial"/>
      <charset val="1"/>
      <family val="2"/>
      <color rgb="FF1B2420"/>
      <sz val="9"/>
    </font>
    <font>
      <name val="Aptos"/>
      <charset val="1"/>
      <family val="2"/>
      <color rgb="FF222222"/>
      <sz val="9"/>
    </font>
    <font>
      <name val="Arial"/>
      <charset val="1"/>
      <family val="0"/>
      <i val="1"/>
      <color rgb="FF566159"/>
      <sz val="8"/>
    </font>
    <font>
      <name val="Arial"/>
      <charset val="1"/>
      <family val="0"/>
      <b val="1"/>
      <color rgb="FFFFFFFF"/>
      <sz val="16"/>
    </font>
    <font>
      <name val="Arial"/>
      <charset val="1"/>
      <family val="2"/>
      <b val="1"/>
      <color rgb="FFFFFFFF"/>
      <sz val="16"/>
    </font>
    <font>
      <name val="Arial"/>
      <charset val="1"/>
      <family val="2"/>
      <sz val="10"/>
    </font>
    <font>
      <name val="Arial"/>
      <charset val="1"/>
      <family val="2"/>
      <sz val="9"/>
    </font>
    <font>
      <name val="Arial"/>
      <charset val="1"/>
      <family val="0"/>
      <b val="1"/>
      <color rgb="FFFFFFFF"/>
      <sz val="10"/>
    </font>
    <font>
      <name val="Arial"/>
      <charset val="1"/>
      <family val="0"/>
      <color rgb="FF566159"/>
      <sz val="8"/>
    </font>
  </fonts>
  <fills count="10">
    <fill>
      <patternFill/>
    </fill>
    <fill>
      <patternFill patternType="gray125"/>
    </fill>
    <fill>
      <patternFill patternType="solid">
        <fgColor rgb="FFD6006E"/>
        <bgColor rgb="FF800080"/>
      </patternFill>
    </fill>
    <fill>
      <patternFill patternType="solid">
        <fgColor rgb="FFFBE3F0"/>
        <bgColor rgb="FFEFE9F2"/>
      </patternFill>
    </fill>
    <fill>
      <patternFill patternType="solid">
        <fgColor rgb="FFEFE9F2"/>
        <bgColor rgb="FFFBE3F0"/>
      </patternFill>
    </fill>
    <fill>
      <patternFill patternType="solid">
        <fgColor rgb="FFFFFFFF"/>
        <bgColor rgb="FFF4F7F3"/>
      </patternFill>
    </fill>
    <fill>
      <patternFill patternType="solid">
        <fgColor rgb="FFF4F7F3"/>
        <bgColor rgb="FFFFFFFF"/>
      </patternFill>
    </fill>
    <fill>
      <patternFill patternType="solid">
        <fgColor rgb="FF2E7D4F"/>
        <bgColor rgb="FF1F6F7A"/>
      </patternFill>
    </fill>
    <fill>
      <patternFill patternType="solid">
        <fgColor rgb="FFD9A227"/>
        <bgColor rgb="FFB8742A"/>
      </patternFill>
    </fill>
    <fill>
      <patternFill patternType="solid">
        <fgColor rgb="FFC0392B"/>
        <bgColor rgb="FF993366"/>
      </patternFill>
    </fill>
  </fills>
  <borders count="13">
    <border>
      <left/>
      <right/>
      <top/>
      <bottom/>
      <diagonal/>
    </border>
    <border>
      <left/>
      <right/>
      <top/>
      <bottom style="thin">
        <color rgb="FFC3CDC1"/>
      </bottom>
      <diagonal/>
    </border>
    <border>
      <left style="thin">
        <color rgb="FFC9C9D6"/>
      </left>
      <right style="thin">
        <color rgb="FFC9C9D6"/>
      </right>
      <top style="thin">
        <color rgb="FFC9C9D6"/>
      </top>
      <bottom style="thin">
        <color rgb="FFC9C9D6"/>
      </bottom>
      <diagonal/>
    </border>
    <border>
      <left style="thin">
        <color rgb="FFC3CDC1"/>
      </left>
      <right style="thin">
        <color rgb="FFC3CDC1"/>
      </right>
      <top style="thin">
        <color rgb="FFC3CDC1"/>
      </top>
      <bottom style="thin">
        <color rgb="FFC3CDC1"/>
      </bottom>
      <diagonal/>
    </border>
    <border>
      <left style="thin"/>
      <right style="thin"/>
      <top style="thin"/>
      <bottom style="thin"/>
      <diagonal/>
    </border>
    <border>
      <left/>
      <right/>
      <top style="thin">
        <color rgb="FFC9C9D6"/>
      </top>
      <bottom/>
      <diagonal/>
    </border>
    <border>
      <left/>
      <right style="thin">
        <color rgb="FFC9C9D6"/>
      </right>
      <top style="thin">
        <color rgb="FFC9C9D6"/>
      </top>
      <bottom/>
      <diagonal/>
    </border>
    <border>
      <left/>
      <right/>
      <top style="thin">
        <color rgb="FFC9C9D6"/>
      </top>
      <bottom style="thin">
        <color rgb="FFC9C9D6"/>
      </bottom>
      <diagonal/>
    </border>
    <border>
      <left/>
      <right style="thin">
        <color rgb="FFC9C9D6"/>
      </right>
      <top style="thin">
        <color rgb="FFC9C9D6"/>
      </top>
      <bottom style="thin">
        <color rgb="FFC9C9D6"/>
      </bottom>
      <diagonal/>
    </border>
    <border>
      <left/>
      <right/>
      <top style="thin">
        <color rgb="FFC3CDC1"/>
      </top>
      <bottom/>
      <diagonal/>
    </border>
    <border>
      <left/>
      <right style="thin">
        <color rgb="FFC3CDC1"/>
      </right>
      <top style="thin">
        <color rgb="FFC3CDC1"/>
      </top>
      <bottom/>
      <diagonal/>
    </border>
    <border>
      <left/>
      <right/>
      <top style="thin">
        <color rgb="FFC3CDC1"/>
      </top>
      <bottom style="thin">
        <color rgb="FFC3CDC1"/>
      </bottom>
      <diagonal/>
    </border>
    <border>
      <left/>
      <right style="thin">
        <color rgb="FFC3CDC1"/>
      </right>
      <top style="thin">
        <color rgb="FFC3CDC1"/>
      </top>
      <bottom style="thin">
        <color rgb="FFC3CDC1"/>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85">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3"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5" borderId="4" applyAlignment="1" pivotButton="0" quotePrefix="0" xfId="0">
      <alignment horizontal="left" vertical="top" wrapText="1"/>
    </xf>
    <xf numFmtId="0" fontId="10" fillId="2" borderId="0" applyAlignment="1" pivotButton="0" quotePrefix="0" xfId="0">
      <alignment horizontal="left" vertical="center"/>
    </xf>
    <xf numFmtId="0" fontId="13" fillId="6" borderId="3" applyAlignment="1" pivotButton="0" quotePrefix="0" xfId="0">
      <alignment horizontal="general" vertical="top" wrapText="1"/>
    </xf>
    <xf numFmtId="0" fontId="14" fillId="6" borderId="3"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3" fillId="5" borderId="3" applyAlignment="1" pivotButton="0" quotePrefix="0" xfId="0">
      <alignment horizontal="left" vertical="top" wrapText="1"/>
    </xf>
    <xf numFmtId="0" fontId="0" fillId="5" borderId="3" applyAlignment="1" pivotButton="0" quotePrefix="0" xfId="0">
      <alignment horizontal="left" vertical="center" wrapText="1"/>
    </xf>
    <xf numFmtId="0" fontId="0" fillId="6" borderId="3" applyAlignment="1" pivotButton="0" quotePrefix="0" xfId="0">
      <alignment horizontal="left" vertical="center" wrapText="1"/>
    </xf>
    <xf numFmtId="0" fontId="18" fillId="2" borderId="0" applyAlignment="1" pivotButton="0" quotePrefix="0" xfId="0">
      <alignment horizontal="left" vertical="center"/>
    </xf>
    <xf numFmtId="0" fontId="19" fillId="0" borderId="0" applyAlignment="1" pivotButton="0" quotePrefix="0" xfId="0">
      <alignment horizontal="left" vertical="center"/>
    </xf>
    <xf numFmtId="0" fontId="10" fillId="7" borderId="0" applyAlignment="1" pivotButton="0" quotePrefix="0" xfId="0">
      <alignment horizontal="center" vertical="center"/>
    </xf>
    <xf numFmtId="0" fontId="20"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0" fontId="0" fillId="6" borderId="3" applyAlignment="1" pivotButton="0" quotePrefix="0" xfId="0">
      <alignment horizontal="left" vertical="center" wrapText="1"/>
    </xf>
    <xf numFmtId="0" fontId="0" fillId="5" borderId="3" applyAlignment="1" pivotButton="0" quotePrefix="0" xfId="0">
      <alignment horizontal="left" vertical="center" wrapText="1"/>
    </xf>
    <xf numFmtId="165" fontId="0" fillId="5" borderId="3" applyAlignment="1" pivotButton="0" quotePrefix="0" xfId="0">
      <alignment horizontal="left" vertical="center" wrapText="1"/>
    </xf>
    <xf numFmtId="165" fontId="0" fillId="6" borderId="3" applyAlignment="1" pivotButton="0" quotePrefix="0" xfId="0">
      <alignment horizontal="left" vertical="center" wrapText="1"/>
    </xf>
    <xf numFmtId="0" fontId="6" fillId="0" borderId="0" applyAlignment="1" pivotButton="0" quotePrefix="0" xfId="0">
      <alignment horizontal="general" vertical="bottom"/>
    </xf>
    <xf numFmtId="0" fontId="21" fillId="7" borderId="0" applyAlignment="1" pivotButton="0" quotePrefix="0" xfId="0">
      <alignment horizontal="center" vertical="center"/>
    </xf>
    <xf numFmtId="0" fontId="21" fillId="8" borderId="0" applyAlignment="1" pivotButton="0" quotePrefix="0" xfId="0">
      <alignment horizontal="center" vertical="center"/>
    </xf>
    <xf numFmtId="0" fontId="21" fillId="9" borderId="0" applyAlignment="1" pivotButton="0" quotePrefix="0" xfId="0">
      <alignment horizontal="center" vertical="center"/>
    </xf>
    <xf numFmtId="0" fontId="22" fillId="0" borderId="0" applyAlignment="1" pivotButton="0" quotePrefix="0" xfId="0">
      <alignment horizontal="center" vertical="center"/>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left" vertical="center"/>
    </xf>
    <xf numFmtId="0" fontId="5" fillId="0" borderId="0" applyAlignment="1" pivotButton="0" quotePrefix="0" xfId="0">
      <alignment horizontal="left" vertical="center"/>
    </xf>
    <xf numFmtId="0" fontId="6" fillId="3" borderId="0" applyAlignment="1" pivotButton="0" quotePrefix="0" xfId="0">
      <alignment horizontal="left" vertical="center"/>
    </xf>
    <xf numFmtId="0" fontId="7" fillId="0" borderId="1" applyAlignment="1" pivotButton="0" quotePrefix="0" xfId="0">
      <alignment horizontal="left" vertical="center"/>
    </xf>
    <xf numFmtId="0" fontId="8" fillId="0" borderId="1" applyAlignment="1" pivotButton="0" quotePrefix="0" xfId="0">
      <alignment horizontal="left" vertical="center"/>
    </xf>
    <xf numFmtId="0" fontId="0" fillId="0" borderId="1" pivotButton="0" quotePrefix="0" xfId="0"/>
    <xf numFmtId="164" fontId="7" fillId="0" borderId="1" applyAlignment="1" pivotButton="0" quotePrefix="0" xfId="0">
      <alignment horizontal="left" vertical="center"/>
    </xf>
    <xf numFmtId="0" fontId="9" fillId="4" borderId="2" applyAlignment="1" pivotButton="0" quotePrefix="0" xfId="0">
      <alignment horizontal="general" vertical="top" wrapText="1"/>
    </xf>
    <xf numFmtId="0" fontId="0" fillId="0" borderId="7" pivotButton="0" quotePrefix="0" xfId="0"/>
    <xf numFmtId="0" fontId="0" fillId="0" borderId="8" pivotButton="0" quotePrefix="0" xfId="0"/>
    <xf numFmtId="0" fontId="10" fillId="2" borderId="3" applyAlignment="1" pivotButton="0" quotePrefix="0" xfId="0">
      <alignment horizontal="center" vertical="center" wrapText="1"/>
    </xf>
    <xf numFmtId="0" fontId="11" fillId="5" borderId="3" applyAlignment="1" pivotButton="0" quotePrefix="0" xfId="0">
      <alignment horizontal="left" vertical="center" wrapText="1"/>
    </xf>
    <xf numFmtId="0" fontId="12" fillId="5" borderId="4" applyAlignment="1" pivotButton="0" quotePrefix="0" xfId="0">
      <alignment horizontal="general" vertical="bottom" wrapText="1"/>
    </xf>
    <xf numFmtId="0" fontId="13" fillId="5" borderId="3" applyAlignment="1" pivotButton="0" quotePrefix="0" xfId="0">
      <alignment horizontal="left" vertical="center" wrapText="1"/>
    </xf>
    <xf numFmtId="0" fontId="11" fillId="6" borderId="3" applyAlignment="1" pivotButton="0" quotePrefix="0" xfId="0">
      <alignment horizontal="left" vertical="center" wrapText="1"/>
    </xf>
    <xf numFmtId="0" fontId="13" fillId="6" borderId="3" applyAlignment="1" pivotButton="0" quotePrefix="0" xfId="0">
      <alignment horizontal="left" vertical="center" wrapText="1"/>
    </xf>
    <xf numFmtId="0" fontId="14" fillId="6" borderId="3" applyAlignment="1" pivotButton="0" quotePrefix="0" xfId="0">
      <alignment horizontal="left" vertical="center" wrapText="1"/>
    </xf>
    <xf numFmtId="0" fontId="15" fillId="5" borderId="4" applyAlignment="1" pivotButton="0" quotePrefix="0" xfId="0">
      <alignment horizontal="left" vertical="top" wrapText="1"/>
    </xf>
    <xf numFmtId="0" fontId="10" fillId="2" borderId="0" applyAlignment="1" pivotButton="0" quotePrefix="0" xfId="0">
      <alignment horizontal="left" vertical="center"/>
    </xf>
    <xf numFmtId="0" fontId="13" fillId="6" borderId="3" applyAlignment="1" pivotButton="0" quotePrefix="0" xfId="0">
      <alignment horizontal="general" vertical="top" wrapText="1"/>
    </xf>
    <xf numFmtId="0" fontId="0" fillId="0" borderId="11" pivotButton="0" quotePrefix="0" xfId="0"/>
    <xf numFmtId="0" fontId="0" fillId="0" borderId="12" pivotButton="0" quotePrefix="0" xfId="0"/>
    <xf numFmtId="0" fontId="14" fillId="6" borderId="3" applyAlignment="1" pivotButton="0" quotePrefix="0" xfId="0">
      <alignment horizontal="general" vertical="top" wrapText="1"/>
    </xf>
    <xf numFmtId="0" fontId="16" fillId="0" borderId="0" applyAlignment="1" pivotButton="0" quotePrefix="0" xfId="0">
      <alignment horizontal="left" vertical="center"/>
    </xf>
    <xf numFmtId="0" fontId="17" fillId="2" borderId="0" applyAlignment="1" pivotButton="0" quotePrefix="0" xfId="0">
      <alignment horizontal="left" vertical="center"/>
    </xf>
    <xf numFmtId="0" fontId="13" fillId="5" borderId="3" applyAlignment="1" pivotButton="0" quotePrefix="0" xfId="0">
      <alignment horizontal="left" vertical="top" wrapText="1"/>
    </xf>
    <xf numFmtId="0" fontId="0" fillId="5" borderId="3" applyAlignment="1" pivotButton="0" quotePrefix="0" xfId="0">
      <alignment horizontal="left" vertical="center" wrapText="1"/>
    </xf>
    <xf numFmtId="0" fontId="0" fillId="6" borderId="3" applyAlignment="1" pivotButton="0" quotePrefix="0" xfId="0">
      <alignment horizontal="left" vertical="center" wrapText="1"/>
    </xf>
    <xf numFmtId="0" fontId="18" fillId="2" borderId="0" applyAlignment="1" pivotButton="0" quotePrefix="0" xfId="0">
      <alignment horizontal="left" vertical="center"/>
    </xf>
    <xf numFmtId="0" fontId="19" fillId="0" borderId="0" applyAlignment="1" pivotButton="0" quotePrefix="0" xfId="0">
      <alignment horizontal="left" vertical="center"/>
    </xf>
    <xf numFmtId="0" fontId="10" fillId="7" borderId="0" applyAlignment="1" pivotButton="0" quotePrefix="0" xfId="0">
      <alignment horizontal="center" vertical="center"/>
    </xf>
    <xf numFmtId="0" fontId="20" fillId="0" borderId="0" applyAlignment="1" pivotButton="0" quotePrefix="0" xfId="0">
      <alignment horizontal="left" vertical="center"/>
    </xf>
    <xf numFmtId="0" fontId="10" fillId="8" borderId="0" applyAlignment="1" pivotButton="0" quotePrefix="0" xfId="0">
      <alignment horizontal="center" vertical="center"/>
    </xf>
    <xf numFmtId="0" fontId="10" fillId="9" borderId="0" applyAlignment="1" pivotButton="0" quotePrefix="0" xfId="0">
      <alignment horizontal="center" vertical="center"/>
    </xf>
    <xf numFmtId="164" fontId="11" fillId="5" borderId="3" applyAlignment="1" pivotButton="0" quotePrefix="0" xfId="0">
      <alignment horizontal="left" vertical="center" wrapText="1"/>
    </xf>
    <xf numFmtId="165" fontId="0" fillId="5" borderId="3" applyAlignment="1" pivotButton="0" quotePrefix="0" xfId="0">
      <alignment horizontal="left" vertical="center" wrapText="1"/>
    </xf>
    <xf numFmtId="165" fontId="0" fillId="6" borderId="3" applyAlignment="1" pivotButton="0" quotePrefix="0" xfId="0">
      <alignment horizontal="left" vertical="center" wrapText="1"/>
    </xf>
    <xf numFmtId="0" fontId="6" fillId="0" borderId="0" applyAlignment="1" pivotButton="0" quotePrefix="0" xfId="0">
      <alignment horizontal="general" vertical="bottom"/>
    </xf>
    <xf numFmtId="0" fontId="21" fillId="7" borderId="0" applyAlignment="1" pivotButton="0" quotePrefix="0" xfId="0">
      <alignment horizontal="center" vertical="center"/>
    </xf>
    <xf numFmtId="0" fontId="21" fillId="8" borderId="0" applyAlignment="1" pivotButton="0" quotePrefix="0" xfId="0">
      <alignment horizontal="center" vertical="center"/>
    </xf>
    <xf numFmtId="0" fontId="21" fillId="9" borderId="0" applyAlignment="1" pivotButton="0" quotePrefix="0" xfId="0">
      <alignment horizontal="center" vertical="center"/>
    </xf>
    <xf numFmtId="0" fontId="22" fillId="0" borderId="0" applyAlignment="1" pivotButton="0" quotePrefix="0" xfId="0">
      <alignment horizontal="center" vertical="center"/>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5">
    <dxf>
      <font>
        <name val="Arial"/>
        <charset val="1"/>
        <family val="0"/>
        <b val="1"/>
        <color rgb="FFFFFFFF"/>
      </font>
      <fill>
        <patternFill>
          <bgColor rgb="FF2E7D4F"/>
        </patternFill>
      </fill>
    </dxf>
    <dxf>
      <font>
        <name val="Arial"/>
        <charset val="1"/>
        <family val="0"/>
        <b val="1"/>
        <color rgb="FFFFFFFF"/>
      </font>
      <fill>
        <patternFill>
          <bgColor rgb="FFB8742A"/>
        </patternFill>
      </fill>
    </dxf>
    <dxf>
      <font>
        <name val="Arial"/>
        <charset val="1"/>
        <family val="0"/>
        <b val="1"/>
        <color rgb="FFFFFFFF"/>
      </font>
      <fill>
        <patternFill>
          <bgColor rgb="FF1F6F7A"/>
        </patternFill>
      </fill>
    </dxf>
    <dxf>
      <font>
        <name val="Arial"/>
        <charset val="1"/>
        <family val="0"/>
        <b val="1"/>
        <color rgb="FFFFFFFF"/>
      </font>
      <fill>
        <patternFill>
          <bgColor rgb="FFD9A227"/>
        </patternFill>
      </fill>
    </dxf>
    <dxf>
      <font>
        <name val="Arial"/>
        <charset val="1"/>
        <family val="0"/>
        <b val="1"/>
        <color rgb="FFFFFFFF"/>
      </font>
      <fill>
        <patternFill>
          <bgColor rgb="FFC0392B"/>
        </patternFill>
      </fill>
    </dxf>
  </dxfs>
  <colors>
    <indexedColors>
      <rgbColor rgb="FF000000"/>
      <rgbColor rgb="FFFFFFFF"/>
      <rgbColor rgb="FFD6006E"/>
      <rgbColor rgb="FF00FF00"/>
      <rgbColor rgb="FF0000FF"/>
      <rgbColor rgb="FFFFFF00"/>
      <rgbColor rgb="FFFF00FF"/>
      <rgbColor rgb="FF00FFFF"/>
      <rgbColor rgb="FF800000"/>
      <rgbColor rgb="FF008000"/>
      <rgbColor rgb="FF000080"/>
      <rgbColor rgb="FFB8742A"/>
      <rgbColor rgb="FF800080"/>
      <rgbColor rgb="FF1F6F7A"/>
      <rgbColor rgb="FFC3CDC1"/>
      <rgbColor rgb="FF808080"/>
      <rgbColor rgb="FF9999FF"/>
      <rgbColor rgb="FF993366"/>
      <rgbColor rgb="FFF4F7F3"/>
      <rgbColor rgb="FFEFE9F2"/>
      <rgbColor rgb="FF660066"/>
      <rgbColor rgb="FFFF8080"/>
      <rgbColor rgb="FF0066CC"/>
      <rgbColor rgb="FFC9C9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BE3F0"/>
      <rgbColor rgb="FF3366FF"/>
      <rgbColor rgb="FF33CCCC"/>
      <rgbColor rgb="FF99CC00"/>
      <rgbColor rgb="FFFFCC00"/>
      <rgbColor rgb="FFD9A227"/>
      <rgbColor rgb="FFFF6600"/>
      <rgbColor rgb="FF566159"/>
      <rgbColor rgb="FF969696"/>
      <rgbColor rgb="FF003366"/>
      <rgbColor rgb="FF2E7D4F"/>
      <rgbColor rgb="FF1B2420"/>
      <rgbColor rgb="FF222222"/>
      <rgbColor rgb="FFC0392B"/>
      <rgbColor rgb="FF993366"/>
      <rgbColor rgb="FF333399"/>
      <rgbColor rgb="FF2E2A5D"/>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tabColor rgb="FFD6006E"/>
    <outlinePr summaryBelow="1" summaryRight="1"/>
    <pageSetUpPr fitToPage="0"/>
  </sheetPr>
  <dimension ref="A1:J30"/>
  <sheetViews>
    <sheetView showFormulas="0" showGridLines="0" showRowColHeaders="1" showZeros="1" rightToLeft="0" tabSelected="0" showOutlineSymbols="1" defaultGridColor="1" view="normal" topLeftCell="A1" colorId="64" zoomScale="100" zoomScaleNormal="100" zoomScalePageLayoutView="100" workbookViewId="0">
      <pane xSplit="0" ySplit="9" topLeftCell="A11" activePane="bottomLeft" state="frozen"/>
      <selection pane="topLeft" activeCell="A1" activeCellId="0" sqref="A1"/>
      <selection pane="bottomLeft" activeCell="C11" activeCellId="0" sqref="C11"/>
    </sheetView>
  </sheetViews>
  <sheetFormatPr baseColWidth="8" defaultColWidth="8.5625" defaultRowHeight="14.25" zeroHeight="0" outlineLevelRow="0"/>
  <cols>
    <col width="18" customWidth="1" style="41" min="1" max="1"/>
    <col width="20" customWidth="1" style="41" min="2" max="2"/>
    <col width="26" customWidth="1" style="41" min="3" max="4"/>
    <col width="16" customWidth="1" style="41" min="5" max="5"/>
    <col width="20" customWidth="1" style="41" min="6" max="6"/>
    <col width="10" customWidth="1" style="41" min="7" max="7"/>
    <col width="26" customWidth="1" style="41" min="8" max="8"/>
    <col width="22" customWidth="1" style="41" min="9" max="10"/>
  </cols>
  <sheetData>
    <row r="1" ht="30" customHeight="1" s="42">
      <c r="A1" s="43" t="inlineStr">
        <is>
          <t>Weekly Planner - To be submitted to Head of School prior to the start of each Half-Term</t>
        </is>
      </c>
    </row>
    <row r="2" ht="14.25" customHeight="1" s="42">
      <c r="A2" s="44" t="inlineStr">
        <is>
          <t>Progress Schools  ·  linked to the 2026/27 Schemes of Work</t>
        </is>
      </c>
    </row>
    <row r="3"/>
    <row r="4" ht="19.5" customHeight="1" s="42">
      <c r="A4" s="45" t="inlineStr">
        <is>
          <t>Pathway</t>
        </is>
      </c>
      <c r="B4" s="46" t="inlineStr">
        <is>
          <t>BUILD</t>
        </is>
      </c>
      <c r="D4" s="41" t="n">
        <v>7</v>
      </c>
      <c r="F4" s="45" t="inlineStr">
        <is>
          <t>Week no.</t>
        </is>
      </c>
      <c r="G4" s="46" t="n">
        <v>7</v>
      </c>
    </row>
    <row r="5" ht="19.5" customHeight="1" s="42">
      <c r="A5" s="45" t="inlineStr">
        <is>
          <t>Term</t>
        </is>
      </c>
      <c r="B5" s="46" t="inlineStr">
        <is>
          <t>Autumn</t>
        </is>
      </c>
      <c r="F5" s="45" t="inlineStr">
        <is>
          <t>Group / class</t>
        </is>
      </c>
      <c r="G5" s="46" t="n"/>
    </row>
    <row r="6" ht="19.5" customHeight="1" s="42">
      <c r="A6" s="45" t="inlineStr">
        <is>
          <t>Theme</t>
        </is>
      </c>
      <c r="B6" s="47">
        <f>IF(B5="Autumn","Identity &amp; Belonging",IF(B5="Spring","Resilience &amp; Change",IF(B5="Summer","Our World, My Future","pick a term")))</f>
        <v/>
      </c>
      <c r="C6" s="48" t="n"/>
      <c r="D6" s="48" t="n"/>
      <c r="F6" s="45" t="inlineStr">
        <is>
          <t>Teacher</t>
        </is>
      </c>
      <c r="G6" s="46" t="n"/>
    </row>
    <row r="7" ht="19.5" customHeight="1" s="42">
      <c r="A7" s="45" t="inlineStr">
        <is>
          <t>Week commencing</t>
        </is>
      </c>
      <c r="B7" s="49" t="n">
        <v>46307</v>
      </c>
      <c r="F7" s="45" t="inlineStr">
        <is>
          <t>Reviewed by</t>
        </is>
      </c>
      <c r="G7" s="46" t="n"/>
    </row>
    <row r="8" ht="45.75" customHeight="1" s="42">
      <c r="A8" s="50" t="inlineStr">
        <is>
          <t>SMSC/BV this week: BHM continues; Harvest window (tbc) — Build PSHE's community-action pitch can adopt a harvest/food-bank action (strongest tie of the term).  RE's Remembrance session is calm-by-design — opt-outs live.  Hate Crime Awareness Week — if this week, tie to the BV Rule of Law assembly.  EVIDENCE: pitch clip → SMSC Evidence Tracker.</t>
        </is>
      </c>
      <c r="B8" s="51" t="n"/>
      <c r="C8" s="51" t="n"/>
      <c r="D8" s="51" t="n"/>
      <c r="E8" s="51" t="n"/>
      <c r="F8" s="51" t="n"/>
      <c r="G8" s="51" t="n"/>
      <c r="H8" s="51" t="n"/>
      <c r="I8" s="51" t="n"/>
      <c r="J8" s="52" t="n"/>
    </row>
    <row r="9" ht="30" customHeight="1" s="42">
      <c r="A9" s="53" t="inlineStr">
        <is>
          <t>Subject</t>
        </is>
      </c>
      <c r="B9" s="53" t="inlineStr">
        <is>
          <t>SoW unit (this term)</t>
        </is>
      </c>
      <c r="C9" s="53" t="inlineStr">
        <is>
          <t>This week's outcome</t>
        </is>
      </c>
      <c r="D9" s="53" t="inlineStr">
        <is>
          <t>Activities</t>
        </is>
      </c>
      <c r="E9" s="53" t="inlineStr">
        <is>
          <t>Key vocabulary</t>
        </is>
      </c>
      <c r="F9" s="53" t="inlineStr">
        <is>
          <t>Resources required</t>
        </is>
      </c>
      <c r="G9" s="53" t="inlineStr">
        <is>
          <t>Assess. (F/S)</t>
        </is>
      </c>
      <c r="H9" s="53" t="inlineStr">
        <is>
          <t>Student adaptations</t>
        </is>
      </c>
      <c r="I9" s="53" t="inlineStr">
        <is>
          <t>Classroom support</t>
        </is>
      </c>
      <c r="J9" s="53" t="inlineStr">
        <is>
          <t>Evaluation (after teaching)</t>
        </is>
      </c>
    </row>
    <row r="10" ht="45.75" customHeight="1" s="42">
      <c r="A10" s="54" t="inlineStr">
        <is>
          <t>English</t>
        </is>
      </c>
      <c r="B10" s="55" t="inlineStr">
        <is>
          <t>Identity &amp; Belonging: baseline employability communication task</t>
        </is>
      </c>
      <c r="C10" s="55" t="inlineStr">
        <is>
          <t>I can complete a short reading, writing and speaking task linked to employability.</t>
        </is>
      </c>
      <c r="D10" s="55" t="inlineStr">
        <is>
          <t>Short reading task → write a personal/profile paragraph → share one goal verbally or in writing → confidence review → update target.</t>
        </is>
      </c>
      <c r="E10" s="55" t="inlineStr">
        <is>
          <t>baseline, employability, communication, target, review, confidence</t>
        </is>
      </c>
      <c r="F10" s="55" t="inlineStr">
        <is>
          <t>Baseline pack; profile text; writing prompt; SLC checklist; confidence tracker.</t>
        </is>
      </c>
      <c r="G10" s="56" t="inlineStr">
        <is>
          <t>S</t>
        </is>
      </c>
      <c r="H10" s="55" t="inlineStr">
        <is>
          <t>Reduced text; MCQ option; scribe/typing; verbal alternative for some evidence; movement breaks.</t>
        </is>
      </c>
      <c r="I10" s="55" t="inlineStr">
        <is>
          <t>TA supports access only, not answers. Teacher records baseline FS L1 readiness and support needs.</t>
        </is>
      </c>
      <c r="J10" s="55" t="inlineStr">
        <is>
          <t>Add evidence to tracker and set next half-term support.</t>
        </is>
      </c>
    </row>
    <row r="11" ht="330" customHeight="1" s="42">
      <c r="A11" s="57" t="inlineStr">
        <is>
          <t>Maths</t>
        </is>
      </c>
      <c r="B11" s="58" t="inlineStr">
        <is>
          <t>Number, calculation &amp; fractions (Y5/6)</t>
        </is>
      </c>
      <c r="C11" s="58" t="inlineStr">
        <is>
          <t>I can identify equivalent fractions and simplify fractions to their lowest terms.</t>
        </is>
      </c>
      <c r="D11" s="59" t="inlineStr">
        <is>
          <t>Fraction wall investigations.
Matching equivalent fraction cards.
Simplifying fractions using common factors.
Real-life fraction contexts.
Reasoning challenges.</t>
        </is>
      </c>
      <c r="E11" s="59" t="inlineStr">
        <is>
          <t>Fraction
Equivalent
Numerator
Denominator
Simplify
Common factor
Lowest terms</t>
        </is>
      </c>
      <c r="F11" s="59" t="inlineStr">
        <is>
          <t>Fraction walls
Fraction strips
Matching cards
Worksheets
Interactive whiteboard</t>
        </is>
      </c>
      <c r="G11" s="58" t="inlineStr">
        <is>
          <t>F</t>
        </is>
      </c>
      <c r="H11" s="59" t="inlineStr">
        <is>
          <t>Visual fraction models.
Simple fractions initially.
Guided examples.
Extension using larger denominators.  Pupil A: choice of task &amp; seat, own table, quiet-space option, short 10–20-min goals, opt-out of group sharing. Pupil B: colourblind-safe — labels/patterns/position, never colour alone; movement; offer choice with a reason, not commands. Pupil C: fatigue-aware — soft re-entry after rest, TA checks understanding (he may tick at random), scribe/photo instead of writing. Pupil D: middle seat, fidget/scribble pad, short 10-min bursts, answer or visibly 'park' his questions.</t>
        </is>
      </c>
      <c r="I11" s="59" t="inlineStr">
        <is>
          <t>Concrete resources.
Small group support.
Teacher modelling.</t>
        </is>
      </c>
      <c r="J11" s="58" t="inlineStr">
        <is>
          <t>Equivalent fraction matching task.
Simplifying assessment.
Discussion and questioning.
Exit ticket.</t>
        </is>
      </c>
    </row>
    <row r="12" ht="339.75" customHeight="1" s="42">
      <c r="A12" s="54" t="inlineStr">
        <is>
          <t>Science</t>
        </is>
      </c>
      <c r="B12" s="56" t="inlineStr">
        <is>
          <t>White Rose Science Year 3 - Aut1·W7</t>
        </is>
      </c>
      <c r="C12" s="60" t="inlineStr">
        <is>
          <t>I can explain that animals get their food by eating, and plants do not.</t>
        </is>
      </c>
      <c r="D12" s="56" t="inlineStr">
        <is>
          <t>v5 whiteboard deck 'Animals Cannot Make Their Own Food': Producer or consumer; Read the arrow; Build a chain. Runs across BOTH weekly 40-min periods: Period 1 → up to We Do 2; Period 2 = extended Independent Work → Lundy → Exit, where the practical and the Assessor Witness evidence are made. One print pack covers both periods.</t>
        </is>
      </c>
      <c r="E12" s="56" t="inlineStr">
        <is>
          <t>food chain, producer, consumer, energy</t>
        </is>
      </c>
      <c r="F12" s="56" t="inlineStr">
        <is>
          <t>Science_Teesside/Build/SCI_B_W7_Where_Food_Comes_From.html (3-tier print pack off the title slide)</t>
        </is>
      </c>
      <c r="G12" s="56" t="inlineStr">
        <is>
          <t>F</t>
        </is>
      </c>
      <c r="H12" s="56" t="inlineStr">
        <is>
          <t>Tiered 3 ways (Supported/Standard/Stretch) at arrival, independent work and exit. Bodies and food are personal. Teach every idea on the model, the diagram or the picture card - never on a pupil's own body, and never on what a pupil has eaten. If a pupil steps out, the diagram waits for them.</t>
        </is>
      </c>
      <c r="I12" s="56" t="inlineStr">
        <is>
          <t>TA confirms allergy status with the office BEFORE the bag is packed — safeguarding step, not a formality. Teacher runs the iodine demo once, slowly, with LAUNCH's tile. LOOP [Feedback Policy]: Voice = sort/build the plate/point [VF, ?] → Audience: name one group and its job; [R] once received → EVIDENCE: balanced-plate photo, upload same day [E: science — daily evidence platform; banks ELC 8939].</t>
        </is>
      </c>
      <c r="J12" s="56" t="inlineStr">
        <is>
          <t>Note who links dairy → bones back to the skeleton weeks — that connection is the whole unit in one move.  → Influence: shapes the W8 investigation and the ELC 8939 evidence bank [NS].</t>
        </is>
      </c>
    </row>
    <row r="13" ht="330" customHeight="1" s="42">
      <c r="A13" s="57" t="inlineStr">
        <is>
          <t>PSHE / RSE</t>
        </is>
      </c>
      <c r="B13" s="58" t="inlineStr">
        <is>
          <t>Identity, rights &amp; British values (PSHE Association KS3, adapted) · AQA UAS 'Rights &amp; responsibilities' · ladders toward Grow PSHE · SoW Aut1·W7</t>
        </is>
      </c>
      <c r="C13" s="58" t="inlineStr">
        <is>
          <t>I can help plan a small action that makes our community better.</t>
        </is>
      </c>
      <c r="D13" s="58" t="inlineStr">
        <is>
          <t>Zones check-in settles the session.  Pitch day (part 1) — choose a real micro-action from a picture menu: site litter blitz, kindness cards, charity bake, or poppy support for RE's Remembrance work → plan it for REAL on the big board with picture prompts (who / what / when / what we need) → rehearse, then pitch to the Head of School for permission to run it in Week 8 — every pupil contributes one part: speak, show or point → exit: 'our action is…'.  EVIDENCE: planning board + pitch clip (banks AQA UAS).  GROW STRETCH: 'Going for Grow' card — what could go wrong, and the backup plan.</t>
        </is>
      </c>
      <c r="E13" s="58" t="inlineStr">
        <is>
          <t>action, community, plan, pitch, permission, help, impact</t>
        </is>
      </c>
      <c r="F13" s="58" t="inlineStr">
        <is>
          <t>Picture action menu; big planning board + prompts; pitch space with the Head of School booked; camera.</t>
        </is>
      </c>
      <c r="G13" s="58" t="inlineStr">
        <is>
          <t>F</t>
        </is>
      </c>
      <c r="H13" s="58" t="inlineStr">
        <is>
          <t>Tiered 3 ways at every step — scaffold, task version and evidence prompt (symbol-supported → sentence-stem → independent): same outcome, different rung. Hands-on route first; easy-read/symbol resources; chunked steps with modelling; movement built into every session.  Pitch parts are chosen, not assigned — pointing at the board counts; the ask is rehearsed twice; Pupil A can pitch 1:1 beforehand if the room is too much.  Pupil A: choice of task &amp; seat, own table, quiet-space option, short 10–20-min goals, opt-out of group sharing. Pupil B: colourblind-safe — labels/patterns/position, never colour alone; movement; offer choice with a reason, not commands. Pupil C: fatigue-aware — soft re-entry after rest, TA checks understanding (he may tick at random), scribe/photo instead of writing. Pupil D: middle seat, fidget/scribble pad, short 10-min bursts, answer or visibly 'park' his questions.</t>
        </is>
      </c>
      <c r="I13" s="58" t="inlineStr">
        <is>
          <t>TA rehearses each pupil's part and films the pitch.  LOOP [Feedback Policy]: Voice = choose/plan/pitch [VF] → Audience: name each contribution back; [R] once the permission lands → EVIDENCE: board + clip, same day [E: BV/community — daily evidence platform; banks AQA UAS].</t>
        </is>
      </c>
      <c r="J13" s="58" t="inlineStr">
        <is>
          <t>Influence: the plan RUNS in W8 — confirm logistics with the Head same-day; note who anticipates problems for the stretch [NS].</t>
        </is>
      </c>
    </row>
    <row r="14" ht="330" customHeight="1" s="42">
      <c r="A14" s="54" t="inlineStr">
        <is>
          <t>RE</t>
        </is>
      </c>
      <c r="B14" s="56" t="inlineStr">
        <is>
          <t>Belief, festivals &amp; belonging (Kapow + RE, adapted) · ladders toward Grow RE · SoW Aut1·W7</t>
        </is>
      </c>
      <c r="C14" s="60" t="inlineStr">
        <is>
          <t>I can take part in Remembrance quietly and say why we remember.</t>
        </is>
      </c>
      <c r="D14" s="56" t="inlineStr">
        <is>
          <t>Arrival: one minute of quiet with a poppy image — how did that feel? (opt-outs live; Calm space open) → the story of the poppy told with real artefacts and photos of local Teesside memorials → hands-on: build the class poppy cascade; find one name from a local memorial together → each pupil says or records one line: 'we remember because…'.  Calm, low-arousal session by design.  EVIDENCE: cascade photo + recorded lines to the display.  GROW STRETCH: 'Going for Grow' card — how does remembering together help a community?</t>
        </is>
      </c>
      <c r="E14" s="56" t="inlineStr">
        <is>
          <t>Remembrance, poppy, memorial, respect, quiet, remember, community</t>
        </is>
      </c>
      <c r="F14" s="56" t="inlineStr">
        <is>
          <t>Poppy images + real artefacts; local memorial photos; cascade craft kit; quiet-corner setup; recorder.</t>
        </is>
      </c>
      <c r="G14" s="56" t="inlineStr">
        <is>
          <t>F</t>
        </is>
      </c>
      <c r="H14" s="56" t="inlineStr">
        <is>
          <t>Tiered 3 ways at every step — scaffold, task version and evidence prompt (symbol-supported → sentence-stem → independent): same outcome, different rung. Hands-on route first; easy-read/symbol resources; chunked steps with modelling; movement built into every session.  The quiet minute is invited, not enforced; making carries the reflection for pupils who won't speak; Pupil C: this low-arousal session suits a tired day — protect it.  Pupil A: choice of task &amp; seat, own table, quiet-space option, short 10–20-min goals, opt-out of group sharing. Pupil B: colourblind-safe — labels/patterns/position, never colour alone; movement; offer choice with a reason, not commands. Pupil C: fatigue-aware — soft re-entry after rest, TA checks understanding (he may tick at random), scribe/photo instead of writing. Pupil D: middle seat, fidget/scribble pad, short 10-min bursts, answer or visibly 'park' his questions.</t>
        </is>
      </c>
      <c r="I14" s="56" t="inlineStr">
        <is>
          <t>TA anchors the quiet corner and records the lines.  LOOP [Feedback Policy]: Voice = make/say the line [VF] → Audience: listen fully, receive it simply, then [R] → EVIDENCE: cascade + lines, same day [E: SMSC — daily evidence platform].</t>
        </is>
      </c>
      <c r="J14" s="56" t="inlineStr">
        <is>
          <t>Influence: the cascade becomes the showcase's reflective final room — note who engages with the quiet unprompted [NS].</t>
        </is>
      </c>
    </row>
    <row r="15" ht="330" customHeight="1" s="42">
      <c r="A15" s="57" t="inlineStr">
        <is>
          <t>Humanities</t>
        </is>
      </c>
      <c r="B15" s="58" t="inlineStr">
        <is>
          <t>Migration &amp; identity in Britain (Kapow History, adapted) · NC KS2, supported · AQA UAS 'History around us' · ladders toward Grow Humanities · SoW Aut1·W7</t>
        </is>
      </c>
      <c r="C15" s="60" t="inlineStr">
        <is>
          <t>I can tell my migration story and say if my source helped.</t>
        </is>
      </c>
      <c r="D15" s="56" t="inlineStr">
        <is>
          <t>Arrival: recap 'First… Then… This meant…' as a whole-class chant → model turning the W6 storyboard into a told story of 2–3 sentences → rehearse in pairs (teller / listener swap) → you do: record your story as audio or video over your storyboard — or tell it 1:1 to the TA → thumbs: 'did your source help?' say why → exit: volunteers play one story to the class.  EVIDENCE: recorded stories — no worksheet, the telling IS the account (banks AQA UAS).  GROW STRETCH: 'Going for Grow' card — 'my source is useful because… but it can't tell us…'.</t>
        </is>
      </c>
      <c r="E15" s="56" t="inlineStr">
        <is>
          <t>tell, story, account, source, useful, because, record</t>
        </is>
      </c>
      <c r="F15" s="56" t="inlineStr">
        <is>
          <t>W6 storyboards; recorders/tablets; teller-listener badges; quiet recording corner; camera.</t>
        </is>
      </c>
      <c r="G15" s="56" t="inlineStr">
        <is>
          <t>F</t>
        </is>
      </c>
      <c r="H15" s="56" t="inlineStr">
        <is>
          <t>Tiered 3 ways at every step — scaffold, task version and evidence prompt (symbol-supported → sentence-stem → independent): same outcome, different rung. Hands-on route first; easy-read/symbol resources; chunked steps with modelling; movement built into every session.  The story is TOLD, never written; 2 sentences counts on the first rung; recording can be voice-only for camera-shy pupils.  Pupil A: choice of task &amp; seat, own table, quiet-space option, short 10–20-min goals, opt-out of group sharing. Pupil B: colourblind-safe — labels/patterns/position, never colour alone; movement; offer choice with a reason, not commands. Pupil C: fatigue-aware — soft re-entry after rest, TA checks understanding (he may tick at random), scribe/photo instead of writing. Pupil D: middle seat, fidget/scribble pad, short 10-min bursts, answer or visibly 'park' his questions.</t>
        </is>
      </c>
      <c r="I15" s="56" t="inlineStr">
        <is>
          <t>TA runs the recording corner and captures the thumbs-why.  LOOP [Feedback Policy]: Voice = tell/record + thumbs why [VF, ?] → Audience: listen to the whole story before tagging, name the shape back, then [R] → EVIDENCE: recording banked, same day [E: humanities/oracy — daily evidence platform; banks AQA UAS].</t>
        </is>
      </c>
      <c r="J15" s="56" t="inlineStr">
        <is>
          <t>Influence: recorded accounts are the unit's summative core — check every pupil has one; usefulness talk flags who's ready for Grow's source evaluation [NS].</t>
        </is>
      </c>
    </row>
    <row r="16" ht="330" customHeight="1" s="42">
      <c r="A16" s="54" t="inlineStr">
        <is>
          <t>Arts (Arts Award)</t>
        </is>
      </c>
      <c r="B16" s="56" t="inlineStr">
        <is>
          <t>Identity in art &amp; developing skills (Trinity Arts Award Explore, supported) · AQA UAS 'Creating artwork' · toward Explore completion → Bronze (Launch) · SoW Creative Arts</t>
        </is>
      </c>
      <c r="C16" s="60" t="inlineStr">
        <is>
          <t>I can show my artwork and say one thing I did well and one next step.</t>
        </is>
      </c>
      <c r="D16" s="56" t="inlineStr">
        <is>
          <t>Arrival: lay out your pieces from the term — pick your favourite → model a short show-and-tell with stems (this is… / I did well… / next I'll…) → practise once on the demo piece together → you do: present your portfolio to a partner, the TA or on video; the next step goes into the log → exit: highlight the piece you'll build on next term.  EVIDENCE: presentation clip + log entry (Explore Part D — the sharing evidence).  GROW STRETCH: 'Going for Grow' card — take one question from your audience.</t>
        </is>
      </c>
      <c r="E16" s="56" t="inlineStr">
        <is>
          <t>present, portfolio, share, proud, next step, audience</t>
        </is>
      </c>
      <c r="F16" s="56" t="inlineStr">
        <is>
          <t>Each pupil's term portfolio; stem cards; camera/recorder; Explore log; display stands.</t>
        </is>
      </c>
      <c r="G16" s="56" t="inlineStr">
        <is>
          <t>F</t>
        </is>
      </c>
      <c r="H16" s="56" t="inlineStr">
        <is>
          <t>Tiered 3 ways at every step — scaffold, task version and evidence prompt (symbol-supported → sentence-stem → independent): same outcome, different rung. Hands-on route first; easy-read/symbol resources; chunked steps with modelling; movement built into every session.  Audience chosen by the pupil (partner / TA / camera); pointing along the stems counts; one piece presented is the first rung, the set the top.  Pupil A: choice of task &amp; seat, own table, quiet-space option, short 10–20-min goals, opt-out of group sharing. Pupil B: colourblind-safe — labels/patterns/position, never colour alone; movement; offer choice with a reason, not commands. Pupil C: fatigue-aware — soft re-entry after rest, TA checks understanding (he may tick at random), scribe/photo instead of writing. Pupil D: middle seat, fidget/scribble pad, short 10-min bursts, answer or visibly 'park' his questions.</t>
        </is>
      </c>
      <c r="I16" s="56" t="inlineStr">
        <is>
          <t>TA stage-manages and films each share.  LOOP [Feedback Policy]: Voice = present + next step [VF] → Audience: watch fully, name the strength back, then [R] → EVIDENCE: clip + log = Part D accreditation evidence, same day [E: Arts Award].</t>
        </is>
      </c>
      <c r="J16" s="56" t="inlineStr">
        <is>
          <t>Influence: Part D banked — Explore portfolio now needs only W8's sound work; list any pupil with a missing part for catch-up [NS].</t>
        </is>
      </c>
    </row>
    <row r="17" ht="45.75" customHeight="1" s="42">
      <c r="A17" s="57" t="inlineStr">
        <is>
          <t>PE</t>
        </is>
      </c>
      <c r="B17" s="58" t="n"/>
      <c r="C17" s="58" t="n"/>
      <c r="D17" s="58" t="n"/>
      <c r="E17" s="58" t="n"/>
      <c r="F17" s="58" t="n"/>
      <c r="G17" s="58" t="n"/>
      <c r="H17" s="58" t="n"/>
      <c r="I17" s="58" t="n"/>
      <c r="J17" s="58" t="n"/>
    </row>
    <row r="18" ht="45.75" customHeight="1" s="42">
      <c r="A18" s="54" t="inlineStr">
        <is>
          <t>ASDAN PEQ (WellbLeE3)</t>
        </is>
      </c>
      <c r="B18" s="56" t="inlineStr">
        <is>
          <t>ASDAN PEQ · WellbLeE3 · Aut·W7 — consolidation &amp; gap-fill</t>
        </is>
      </c>
      <c r="C18" s="56" t="inlineStr">
        <is>
          <t>I can find anything missing from my portfolio and add it.</t>
        </is>
      </c>
      <c r="D18" s="56" t="inlineStr">
        <is>
          <t>The week the 8-week term buys you — use it. No new criteria. With an adult, walk your own portfolio against E3.1–E3.4 and fill gaps NOW, while the activities are still fresh and the kit is still out. Anyone already complete revisits their W5 strategy and tests it for real — that rehearsal makes the W9 plan easier to write. The audit is next week and nothing should be a surprise in it.  PLUS: 'Marvellous mistakes' circle — why mistakes help us learn and feel OK (E3.4.1–E3.4.2, scribed pupil voice) — closes the last knowledge criterion before the W8 audit.</t>
        </is>
      </c>
      <c r="E18" s="56" t="inlineStr">
        <is>
          <t>portfolio, evidence, missing, add, check, ready, mistake, try again</t>
        </is>
      </c>
      <c r="F18" s="56" t="inlineStr">
        <is>
          <t>Evidence Binder; WellbLeE3 criteria checklist; the W3–W6 kit still accessible; camera; gap-fill slips.; marvellous-mistakes story cards</t>
        </is>
      </c>
      <c r="G18" s="56" t="inlineStr">
        <is>
          <t>F</t>
        </is>
      </c>
      <c r="H18" s="56" t="inlineStr">
        <is>
          <t>Gap-fill framed as 'topping up', never catching up; mistakes circle normalises errors before next week's audit; scribed voice throughout</t>
        </is>
      </c>
      <c r="I18" s="56" t="inlineStr">
        <is>
          <t>TA and teacher split the gap-fill list between them; TA scribes the mistakes circle (E3.4.1–E3.4.2) — one statement per pupil, filed same day</t>
        </is>
      </c>
      <c r="J18" s="56" t="n"/>
    </row>
    <row r="19" ht="45.75" customHeight="1" s="42">
      <c r="A19" s="54" t="inlineStr">
        <is>
          <t>Slot 1 · Careers (ASDAN)</t>
        </is>
      </c>
      <c r="B19" s="56" t="inlineStr">
        <is>
          <t>Careers &amp; world of work — strengths to jobs (evidences ASDAN Living Independently M8; AQA UAS)</t>
        </is>
      </c>
      <c r="C19" s="56" t="inlineStr">
        <is>
          <t>I can complete my “me as a worker” one-pager (evidence week).</t>
        </is>
      </c>
      <c r="D19" s="56" t="inlineStr">
        <is>
          <t>Assemble profile + evidence; skills tick-grid; tutor sign-off; portfolio filed.</t>
        </is>
      </c>
      <c r="E19" s="56" t="inlineStr">
        <is>
          <t>strength, skill, job, worker, employer, routine, profile, evidence</t>
        </is>
      </c>
      <c r="F19" s="56" t="inlineStr">
        <is>
          <t>Strength cards; local jobs photo bank; profile posters; visitor link. W1 lesson: BUILD_L1_Careers_Strengths.html (evidence print incl. Yellow Box/WWW-EBI footer).</t>
        </is>
      </c>
      <c r="G19" s="56" t="inlineStr">
        <is>
          <t>S</t>
        </is>
      </c>
      <c r="H19"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19" s="56" t="inlineStr">
        <is>
          <t>TA runs paired talk with stems; scribes for reluctant writers (note “TA scribed”); champions Pupil A early and often.</t>
        </is>
      </c>
      <c r="J19" s="56" t="n"/>
    </row>
    <row r="20" ht="45.75" customHeight="1" s="42">
      <c r="A20" s="54" t="inlineStr">
        <is>
          <t>Slot 2 · Vocational / D&amp;T (ASDAN)</t>
        </is>
      </c>
      <c r="B20" s="56" t="inlineStr">
        <is>
          <t>D&amp;T via ASDAN tasters: kitchen skills → Textiles design-make-evaluate (Aut1); Construction from Aut2</t>
        </is>
      </c>
      <c r="C20" s="56" t="inlineStr">
        <is>
          <t>I can test and evaluate my finished item (evidence week).</t>
        </is>
      </c>
      <c r="D20" s="56" t="inlineStr">
        <is>
          <t>Test against the design frame → WWW/EBI evaluation → item photographed and evidence filed.</t>
        </is>
      </c>
      <c r="E20" s="56" t="inlineStr">
        <is>
          <t>tool, safety, hygiene, recipe, fabric, join, design, evaluate</t>
        </is>
      </c>
      <c r="F20" s="56" t="inlineStr">
        <is>
          <t>Kitchen + tools, PPE, recipe cards; fabrics &amp; fastenings. W1 lesson: BUILD_L1_Vocational_Kitchen_Induction.html.</t>
        </is>
      </c>
      <c r="G20" s="56" t="inlineStr">
        <is>
          <t>S</t>
        </is>
      </c>
      <c r="H20"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20" s="56" t="inlineStr">
        <is>
          <t>TA runs safe-carry / wash-up stations; signs skill cards only when genuinely met; models every technique first.</t>
        </is>
      </c>
      <c r="J20" s="56" t="n"/>
    </row>
    <row r="21" ht="45.75" customHeight="1" s="42">
      <c r="A21" s="54" t="inlineStr">
        <is>
          <t>Slot 3 · PfA — ASDAN Living Independently</t>
        </is>
      </c>
      <c r="B21" s="56" t="inlineStr">
        <is>
          <t>ASDAN LI — M1 Earning &amp; Spending Money (Aut1) → M2 Keeping Track of Your Money (Aut2); Section A: 4 challenges over ~10 hrs = 1 credit per module</t>
        </is>
      </c>
      <c r="C21" s="56" t="inlineStr">
        <is>
          <t>Evidence week: I can complete Module 1 Section A challenges (skills grid + sign-off).</t>
        </is>
      </c>
      <c r="D21" s="56" t="inlineStr">
        <is>
          <t>Challenge completion session → skills tick-grid per pupil → tutor sign-off; portfolio filed.</t>
        </is>
      </c>
      <c r="E21" s="56" t="inlineStr">
        <is>
          <t>income, spending, wages, benefits, payslip, price, budget, bank</t>
        </is>
      </c>
      <c r="F21" s="56" t="inlineStr">
        <is>
          <t>Practice money + tins, payslip, price tags, money-map paper, spending diary; LI student book / e-portfolio. W1 lesson: BUILD_L1_LI_Where_Money_Comes_From.html.</t>
        </is>
      </c>
      <c r="G21" s="56" t="inlineStr">
        <is>
          <t>S</t>
        </is>
      </c>
      <c r="H21"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21" s="56" t="inlineStr">
        <is>
          <t>TA runs wage-packet counting 1:1; money talk stays judgement-free; NO personal family finances recorded.</t>
        </is>
      </c>
      <c r="J21" s="56" t="n"/>
    </row>
    <row r="22" ht="45.75" customHeight="1" s="42">
      <c r="A22" s="54" t="inlineStr">
        <is>
          <t>Slot 4 · PfA — ASDAN FoodWise</t>
        </is>
      </c>
      <c r="B22" s="56" t="inlineStr">
        <is>
          <t>ASDAN FoodWise — M1 Healthy Eating (Aut1) → M2 Basic Food Safety (Aut2); Section A: 4 challenges over ~10 hrs = 1 credit per module</t>
        </is>
      </c>
      <c r="C22" s="56" t="inlineStr">
        <is>
          <t>Evidence week: I can complete Module 1 Section A challenges (skills grid + sign-off).</t>
        </is>
      </c>
      <c r="D22" s="56" t="inlineStr">
        <is>
          <t>Challenge completion session → skills tick-grid → tutor sign-off; portfolio filed.</t>
        </is>
      </c>
      <c r="E22" s="56" t="inlineStr">
        <is>
          <t>food group, carbohydrate, protein, dairy, balance, label, hygiene, safety</t>
        </is>
      </c>
      <c r="F22" s="56" t="inlineStr">
        <is>
          <t>Eatwell mat + real foods, packaging for traffic-light labels, kitchen, display kit; FoodWise student book. SMSC anchor: World Food Day 16 Oct. W1 lesson: FW_L1_Food_Groups.html.</t>
        </is>
      </c>
      <c r="G22" s="56" t="inlineStr">
        <is>
          <t>S</t>
        </is>
      </c>
      <c r="H22"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22" s="56" t="inlineStr">
        <is>
          <t>TA runs food-handling hygiene checks; allergy list confirmed with the office before EVERY food session; photo evidence per pupil per practical.</t>
        </is>
      </c>
      <c r="J22" s="56" t="n"/>
    </row>
    <row r="23" ht="45.75" customHeight="1" s="42">
      <c r="A23" s="54" t="inlineStr">
        <is>
          <t>Slot 5 · Community A — Community Project &amp; Vocational</t>
        </is>
      </c>
      <c r="B23" s="56" t="inlineStr">
        <is>
          <t>Community Project &amp; Vocational — sustained local contribution; ASDAN/UAS community evidence. Trips/Visits policy applies to ALL off-site work (approval 4 weeks ahead, min. two staff).</t>
        </is>
      </c>
      <c r="C23" s="56" t="inlineStr">
        <is>
          <t>I can record evidence (photos/notes) of our contribution so far.</t>
        </is>
      </c>
      <c r="D23" s="56" t="inlineStr">
        <is>
          <t>Log surgery: photos in, captions written → contribution-so-far page per pupil.</t>
        </is>
      </c>
      <c r="E23" s="56" t="inlineStr">
        <is>
          <t>community, project, partner, role, responsibility, contribute, evidence</t>
        </is>
      </c>
      <c r="F23" s="56" t="inlineStr">
        <is>
          <t>Local partner venue; PPE as required; project log; camera. ICT embedded: digital project log.</t>
        </is>
      </c>
      <c r="G23" s="56" t="inlineStr">
        <is>
          <t>S</t>
        </is>
      </c>
      <c r="H23"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23" s="56" t="inlineStr">
        <is>
          <t>TA supports allocated roles and captures the weekly log; off-site checklist confirmed before leaving site every time.</t>
        </is>
      </c>
      <c r="J23" s="56" t="n"/>
    </row>
    <row r="24" ht="45.75" customHeight="1" s="42">
      <c r="A24" s="54" t="inlineStr">
        <is>
          <t>Slot 6 · Community B — Junior/Young Duke + Social Enterprise</t>
        </is>
      </c>
      <c r="B24" s="56" t="inlineStr">
        <is>
          <t>Junior/Young Duke (Capable Kids) challenge levels + community &amp; social enterprise action · AQA UAS “Personal challenge”.</t>
        </is>
      </c>
      <c r="C24" s="56" t="inlineStr">
        <is>
          <t>I can reflect on resilience in a challenge (evidence week).</t>
        </is>
      </c>
      <c r="D24" s="56" t="inlineStr">
        <is>
          <t>Hard-bit / kept-going reflections → log sign-offs to date.</t>
        </is>
      </c>
      <c r="E24" s="56" t="inlineStr">
        <is>
          <t>challenge, pledge, evidence, resilience, kindness, independence</t>
        </is>
      </c>
      <c r="F24" s="56" t="inlineStr">
        <is>
          <t>Junior/Young Duke booklets (first aid, cookery, eco, independence challenges); challenge log; camera/tablet. SMSC anchors: Anti-Bullying Week 16–20 Nov, World Kindness Day 13 Nov.</t>
        </is>
      </c>
      <c r="G24" s="56" t="inlineStr">
        <is>
          <t>S</t>
        </is>
      </c>
      <c r="H24" s="56" t="inlineStr">
        <is>
          <t>Tiered 3 ways at every step; NEVER colour-only coding (Pupil B — pair every colour with a word/symbol); movement jobs &amp; pacing breaks built in (Pupil D); low-demand entry + fatigue watch, key tasks early in session (Pupil C); confidence-first low-stakes start, praise attempts before accuracy (Pupil A); photo/oral/scribed evidence accepted throughout.</t>
        </is>
      </c>
      <c r="I24" s="56" t="inlineStr">
        <is>
          <t>TA witnesses and photographs each challenge attempt; tutor signs off only genuinely met challenges; pledge wall kept current.</t>
        </is>
      </c>
      <c r="J24" s="56" t="n"/>
    </row>
    <row r="26" ht="18" customHeight="1" s="42">
      <c r="A26" s="61" t="inlineStr">
        <is>
          <t>Enrichment &amp; wider opportunities this week   (trips, visitors, themed days, SMSC calendar link, PfA / community)</t>
        </is>
      </c>
    </row>
    <row r="27" ht="39.75" customHeight="1" s="42">
      <c r="A27" s="62" t="inlineStr">
        <is>
          <t>BHM continues.  Harvest window (tbc) — possible food-bank link for the PSHE action.  Pitch to the Head of School (PSHE) — book the slot.  PfA / community: recce the W8 action site if off-corridor.</t>
        </is>
      </c>
      <c r="B27" s="63" t="n"/>
      <c r="C27" s="63" t="n"/>
      <c r="D27" s="63" t="n"/>
      <c r="E27" s="63" t="n"/>
      <c r="F27" s="63" t="n"/>
      <c r="G27" s="63" t="n"/>
      <c r="H27" s="63" t="n"/>
      <c r="I27" s="63" t="n"/>
      <c r="J27" s="64" t="n"/>
    </row>
    <row r="28" ht="18" customHeight="1" s="42">
      <c r="A28" s="61" t="inlineStr">
        <is>
          <t>Resources &amp; support to prepare before the week   (printing, kit, bookings, briefing the team)</t>
        </is>
      </c>
    </row>
    <row r="29" ht="39.75" customHeight="1" s="42">
      <c r="A29" s="65" t="inlineStr">
        <is>
          <t>Print/prepare: four maths station kits (reuse W1–6), tiered ELC-style item sets + RAG faces, upgrade cards + W4 pieces retrieved, action picture menu + big planning board (BOOK the Head of School for the pitch), poppy artefacts + local memorial photos + cascade kit, recorders charged for Humanities stories, stem cards + display stands for Arts shares.  Calm space open for RE — protect it.</t>
        </is>
      </c>
      <c r="B29" s="63" t="n"/>
      <c r="C29" s="63" t="n"/>
      <c r="D29" s="63" t="n"/>
      <c r="E29" s="63" t="n"/>
      <c r="F29" s="63" t="n"/>
      <c r="G29" s="63" t="n"/>
      <c r="H29" s="63" t="n"/>
      <c r="I29" s="63" t="n"/>
      <c r="J29" s="64" t="n"/>
    </row>
    <row r="30" ht="18" customHeight="1" s="42">
      <c r="A30" s="66" t="inlineStr">
        <is>
          <t xml:space="preserve">F = formative  ·  S = summative  ·  PfA = Preparing for Adulthood  </t>
        </is>
      </c>
    </row>
  </sheetData>
  <mergeCells count="9">
    <mergeCell ref="A1:J1"/>
    <mergeCell ref="A8:J8"/>
    <mergeCell ref="B6:D6"/>
    <mergeCell ref="A27:J27"/>
    <mergeCell ref="A30:J30"/>
    <mergeCell ref="A29:J29"/>
    <mergeCell ref="A26:J26"/>
    <mergeCell ref="A2:J2"/>
    <mergeCell ref="A28:J28"/>
  </mergeCells>
  <dataValidations count="4">
    <dataValidation sqref="B4" showDropDown="0" showInputMessage="0" showErrorMessage="0" allowBlank="1" errorTitle="Choose from the list" error="Pick a value from the list." type="list" errorStyle="stop" operator="between">
      <formula1>"BUILD,GROW,LAUNCH"</formula1>
      <formula2>0</formula2>
    </dataValidation>
    <dataValidation sqref="B5" showDropDown="0" showInputMessage="0" showErrorMessage="0" allowBlank="1" errorTitle="Choose from the list" error="Pick a value from the list." type="list" errorStyle="stop" operator="between">
      <formula1>"Autumn,Spring,Summer"</formula1>
      <formula2>0</formula2>
    </dataValidation>
    <dataValidation sqref="A10:A18"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G10:G18" showDropDown="0" showInputMessage="0" showErrorMessage="0" allowBlank="1" errorTitle="Choose from the list" error="Pick a value from the list." type="list" errorStyle="stop" operator="between">
      <formula1>"F,S,F + S"</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tabColor rgb="FFD6006E"/>
    <outlinePr summaryBelow="1" summaryRight="1"/>
    <pageSetUpPr fitToPage="0"/>
  </sheetPr>
  <dimension ref="A1:I19"/>
  <sheetViews>
    <sheetView showFormulas="0" showGridLines="0" showRowColHeaders="1" showZeros="1" rightToLeft="0" tabSelected="0" showOutlineSymbols="1" defaultGridColor="1" view="normal" topLeftCell="A1" colorId="64" zoomScale="100" zoomScaleNormal="100" zoomScalePageLayoutView="100" workbookViewId="0">
      <pane xSplit="0" ySplit="4" topLeftCell="A5" activePane="bottomLeft" state="frozen"/>
      <selection pane="topLeft" activeCell="A1" activeCellId="0" sqref="A1"/>
      <selection pane="bottomLeft" activeCell="D10" activeCellId="0" sqref="D10"/>
    </sheetView>
  </sheetViews>
  <sheetFormatPr baseColWidth="8" defaultColWidth="8.5625" defaultRowHeight="14.25" zeroHeight="0" outlineLevelRow="0"/>
  <cols>
    <col width="16" customWidth="1" style="41" min="1" max="1"/>
    <col width="11" customWidth="1" style="41" min="2" max="2"/>
    <col width="10" customWidth="1" style="41" min="3" max="3"/>
    <col width="15" customWidth="1" style="41" min="4" max="4"/>
    <col width="26" customWidth="1" style="41" min="5" max="5"/>
    <col width="36" customWidth="1" style="41" min="6" max="7"/>
    <col width="22" customWidth="1" style="41" min="8" max="8"/>
    <col width="26" customWidth="1" style="41" min="9" max="9"/>
  </cols>
  <sheetData>
    <row r="1" ht="25.5" customHeight="1" s="42">
      <c r="A1" s="67" t="inlineStr">
        <is>
          <t>Student Adaptations</t>
        </is>
      </c>
    </row>
    <row r="2" ht="14.25" customHeight="1" s="42">
      <c r="A2" s="44" t="n"/>
    </row>
    <row r="4" ht="27.75" customHeight="1" s="42">
      <c r="A4" s="53" t="inlineStr">
        <is>
          <t>Name</t>
        </is>
      </c>
      <c r="B4" s="53" t="inlineStr">
        <is>
          <t>Pathway</t>
        </is>
      </c>
      <c r="C4" s="53" t="inlineStr">
        <is>
          <t>Year / KS</t>
        </is>
      </c>
      <c r="D4" s="53" t="inlineStr">
        <is>
          <t>Reading age band</t>
        </is>
      </c>
      <c r="E4" s="53" t="inlineStr">
        <is>
          <t>Communication / sensory needs</t>
        </is>
      </c>
      <c r="F4" s="53" t="inlineStr">
        <is>
          <t>Key scaffolds &amp; adaptations</t>
        </is>
      </c>
      <c r="G4" s="53" t="inlineStr">
        <is>
          <t>EHCP primary outcomes</t>
        </is>
      </c>
      <c r="H4" s="53" t="inlineStr">
        <is>
          <t>PfA focus</t>
        </is>
      </c>
      <c r="I4" s="53" t="inlineStr">
        <is>
          <t>Notes</t>
        </is>
      </c>
    </row>
    <row r="5" ht="174.75" customHeight="1" s="42">
      <c r="A5" s="54" t="inlineStr">
        <is>
          <t>Pupil A</t>
        </is>
      </c>
      <c r="B5" s="56" t="inlineStr">
        <is>
          <t>BUILD</t>
        </is>
      </c>
      <c r="C5" s="56" t="inlineStr">
        <is>
          <t>KS4</t>
        </is>
      </c>
      <c r="D5" s="68" t="n"/>
      <c r="E5" s="68" t="n"/>
      <c r="F5" s="68" t="n"/>
      <c r="G5" s="68" t="n"/>
      <c r="H5" s="68" t="n"/>
      <c r="I5" s="68" t="n"/>
    </row>
    <row r="6" ht="174.75" customHeight="1" s="42">
      <c r="A6" s="54" t="inlineStr">
        <is>
          <t>Pupil B</t>
        </is>
      </c>
      <c r="B6" s="56" t="inlineStr">
        <is>
          <t>BUILD</t>
        </is>
      </c>
      <c r="C6" s="56" t="inlineStr">
        <is>
          <t>KS4</t>
        </is>
      </c>
      <c r="D6" s="68" t="n"/>
      <c r="E6" s="68" t="n"/>
      <c r="F6" s="68" t="n"/>
      <c r="G6" s="68" t="n"/>
      <c r="H6" s="68" t="n"/>
      <c r="I6" s="68" t="n"/>
    </row>
    <row r="7" ht="174.75" customHeight="1" s="42">
      <c r="A7" s="54" t="inlineStr">
        <is>
          <t>Pupil C</t>
        </is>
      </c>
      <c r="B7" s="56" t="inlineStr">
        <is>
          <t>BUILD</t>
        </is>
      </c>
      <c r="C7" s="56" t="inlineStr">
        <is>
          <t>KS4</t>
        </is>
      </c>
      <c r="D7" s="68" t="n"/>
      <c r="E7" s="68" t="n"/>
      <c r="F7" s="68" t="n"/>
      <c r="G7" s="68" t="n"/>
      <c r="H7" s="68" t="n"/>
      <c r="I7" s="68" t="n"/>
    </row>
    <row r="8" ht="174.75" customHeight="1" s="42">
      <c r="A8" s="54" t="inlineStr">
        <is>
          <t>Pupil D</t>
        </is>
      </c>
      <c r="B8" s="56" t="inlineStr">
        <is>
          <t>BUILD</t>
        </is>
      </c>
      <c r="C8" s="56" t="inlineStr">
        <is>
          <t>KS4</t>
        </is>
      </c>
      <c r="D8" s="68" t="n"/>
      <c r="E8" s="68" t="n"/>
      <c r="F8" s="68" t="n"/>
      <c r="G8" s="68" t="n"/>
      <c r="H8" s="68" t="n"/>
      <c r="I8" s="68" t="n"/>
    </row>
    <row r="9" ht="30" customHeight="1" s="42">
      <c r="A9" s="69" t="n"/>
      <c r="B9" s="69" t="n"/>
      <c r="C9" s="69" t="n"/>
      <c r="D9" s="69" t="n"/>
      <c r="E9" s="69" t="n"/>
      <c r="F9" s="69" t="n"/>
      <c r="G9" s="69" t="n"/>
      <c r="H9" s="69" t="n"/>
      <c r="I9" s="69" t="n"/>
    </row>
    <row r="10" ht="30" customHeight="1" s="42">
      <c r="A10" s="70" t="n"/>
      <c r="B10" s="70" t="n"/>
      <c r="C10" s="70" t="n"/>
      <c r="D10" s="70" t="n"/>
      <c r="E10" s="70" t="n"/>
      <c r="F10" s="70" t="n"/>
      <c r="G10" s="70" t="n"/>
      <c r="H10" s="70" t="n"/>
      <c r="I10" s="70" t="n"/>
    </row>
    <row r="11" ht="30" customHeight="1" s="42">
      <c r="A11" s="69" t="n"/>
      <c r="B11" s="69" t="n"/>
      <c r="C11" s="69" t="n"/>
      <c r="D11" s="69" t="n"/>
      <c r="E11" s="69" t="n"/>
      <c r="F11" s="69" t="n"/>
      <c r="G11" s="69" t="n"/>
      <c r="H11" s="69" t="n"/>
      <c r="I11" s="69" t="n"/>
    </row>
    <row r="12" ht="30" customHeight="1" s="42">
      <c r="A12" s="70" t="n"/>
      <c r="B12" s="70" t="n"/>
      <c r="C12" s="70" t="n"/>
      <c r="D12" s="70" t="n"/>
      <c r="E12" s="70" t="n"/>
      <c r="F12" s="70" t="n"/>
      <c r="G12" s="70" t="n"/>
      <c r="H12" s="70" t="n"/>
      <c r="I12" s="70" t="n"/>
    </row>
    <row r="13" ht="30" customHeight="1" s="42">
      <c r="A13" s="69" t="n"/>
      <c r="B13" s="69" t="n"/>
      <c r="C13" s="69" t="n"/>
      <c r="D13" s="69" t="n"/>
      <c r="E13" s="69" t="n"/>
      <c r="F13" s="69" t="n"/>
      <c r="G13" s="69" t="n"/>
      <c r="H13" s="69" t="n"/>
      <c r="I13" s="69" t="n"/>
    </row>
    <row r="14" ht="30" customHeight="1" s="42">
      <c r="A14" s="70" t="n"/>
      <c r="B14" s="70" t="n"/>
      <c r="C14" s="70" t="n"/>
      <c r="D14" s="70" t="n"/>
      <c r="E14" s="70" t="n"/>
      <c r="F14" s="70" t="n"/>
      <c r="G14" s="70" t="n"/>
      <c r="H14" s="70" t="n"/>
      <c r="I14" s="70" t="n"/>
    </row>
    <row r="15" ht="30" customHeight="1" s="42">
      <c r="A15" s="69" t="n"/>
      <c r="B15" s="69" t="n"/>
      <c r="C15" s="69" t="n"/>
      <c r="D15" s="69" t="n"/>
      <c r="E15" s="69" t="n"/>
      <c r="F15" s="69" t="n"/>
      <c r="G15" s="69" t="n"/>
      <c r="H15" s="69" t="n"/>
      <c r="I15" s="69" t="n"/>
    </row>
    <row r="16" ht="30" customHeight="1" s="42">
      <c r="A16" s="70" t="n"/>
      <c r="B16" s="70" t="n"/>
      <c r="C16" s="70" t="n"/>
      <c r="D16" s="70" t="n"/>
      <c r="E16" s="70" t="n"/>
      <c r="F16" s="70" t="n"/>
      <c r="G16" s="70" t="n"/>
      <c r="H16" s="70" t="n"/>
      <c r="I16" s="70" t="n"/>
    </row>
    <row r="17" ht="30" customHeight="1" s="42">
      <c r="A17" s="69" t="n"/>
      <c r="B17" s="69" t="n"/>
      <c r="C17" s="69" t="n"/>
      <c r="D17" s="69" t="n"/>
      <c r="E17" s="69" t="n"/>
      <c r="F17" s="69" t="n"/>
      <c r="G17" s="69" t="n"/>
      <c r="H17" s="69" t="n"/>
      <c r="I17" s="69" t="n"/>
    </row>
    <row r="18" ht="30" customHeight="1" s="42">
      <c r="A18" s="70" t="n"/>
      <c r="B18" s="70" t="n"/>
      <c r="C18" s="70" t="n"/>
      <c r="D18" s="70" t="n"/>
      <c r="E18" s="70" t="n"/>
      <c r="F18" s="70" t="n"/>
      <c r="G18" s="70" t="n"/>
      <c r="H18" s="70" t="n"/>
      <c r="I18" s="70" t="n"/>
    </row>
    <row r="19" ht="30" customHeight="1" s="42">
      <c r="A19" s="69" t="n"/>
      <c r="B19" s="69" t="n"/>
      <c r="C19" s="69" t="n"/>
      <c r="D19" s="69" t="n"/>
      <c r="E19" s="69" t="n"/>
      <c r="F19" s="69" t="n"/>
      <c r="G19" s="69" t="n"/>
      <c r="H19" s="69" t="n"/>
      <c r="I19" s="69" t="n"/>
    </row>
  </sheetData>
  <mergeCells count="2">
    <mergeCell ref="A1:I1"/>
    <mergeCell ref="A2:I2"/>
  </mergeCells>
  <conditionalFormatting sqref="B5:B19">
    <cfRule type="cellIs" rank="0" priority="2" equalAverage="0" operator="equal" aboveAverage="0" dxfId="0" text="" percent="0" bottom="0">
      <formula>"BUILD"</formula>
    </cfRule>
    <cfRule type="cellIs" rank="0" priority="3" equalAverage="0" operator="equal" aboveAverage="0" dxfId="1" text="" percent="0" bottom="0">
      <formula>"GROW"</formula>
    </cfRule>
    <cfRule type="cellIs" rank="0" priority="4" equalAverage="0" operator="equal" aboveAverage="0" dxfId="2" text="" percent="0" bottom="0">
      <formula>"LAUNCH"</formula>
    </cfRule>
  </conditionalFormatting>
  <dataValidations count="1">
    <dataValidation sqref="B5:B19" showDropDown="0" showInputMessage="0" showErrorMessage="0" allowBlank="1" errorTitle="Choose from the list" error="Pick a value from the list." type="list" errorStyle="stop" operator="between">
      <formula1>"BUILD,GROW,LAUNCH"</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tabColor rgb="FFD6006E"/>
    <outlinePr summaryBelow="1" summaryRight="1"/>
    <pageSetUpPr fitToPage="0"/>
  </sheetPr>
  <dimension ref="A1:I24"/>
  <sheetViews>
    <sheetView showFormulas="0" showGridLines="0" showRowColHeaders="1" showZeros="1" rightToLeft="0" tabSelected="1" showOutlineSymbols="1" defaultGridColor="1" view="normal" topLeftCell="A1" colorId="64" zoomScale="85" zoomScaleNormal="85" zoomScalePageLayoutView="100" workbookViewId="0">
      <pane xSplit="0" ySplit="5" topLeftCell="A6" activePane="bottomLeft" state="frozen"/>
      <selection pane="topLeft" activeCell="A1" activeCellId="0" sqref="A1"/>
      <selection pane="bottomLeft" activeCell="D7" activeCellId="0" sqref="D7"/>
    </sheetView>
  </sheetViews>
  <sheetFormatPr baseColWidth="8" defaultColWidth="8.5625" defaultRowHeight="14.25" zeroHeight="0" outlineLevelRow="0"/>
  <cols>
    <col width="12" customWidth="1" style="41" min="1" max="1"/>
    <col width="11" customWidth="1" style="41" min="2" max="2"/>
    <col width="16" customWidth="1" style="41" min="3" max="3"/>
    <col width="28" customWidth="1" style="41" min="4" max="4"/>
    <col width="24" customWidth="1" style="41" min="5" max="5"/>
    <col width="9" customWidth="1" style="41" min="6" max="6"/>
    <col width="24" customWidth="1" style="41" min="7" max="7"/>
    <col width="18" customWidth="1" style="41" min="8" max="8"/>
    <col width="26" customWidth="1" style="41" min="9" max="9"/>
  </cols>
  <sheetData>
    <row r="1" ht="25.5" customHeight="1" s="42">
      <c r="A1" s="71" t="inlineStr">
        <is>
          <t xml:space="preserve">Outcome Tracker </t>
        </is>
      </c>
    </row>
    <row r="2" ht="14.25" customHeight="1" s="42">
      <c r="A2" s="72" t="inlineStr">
        <is>
          <t xml:space="preserve">Did everyone make progress and meet the outcome? </t>
        </is>
      </c>
    </row>
    <row r="3" ht="18" customHeight="1" s="42">
      <c r="A3" s="73" t="inlineStr">
        <is>
          <t>GREEN</t>
        </is>
      </c>
      <c r="B3" s="74" t="inlineStr">
        <is>
          <t>All demonstrated progress &amp; achieved the outcome</t>
        </is>
      </c>
      <c r="D3" s="75" t="inlineStr">
        <is>
          <t>AMBER</t>
        </is>
      </c>
      <c r="E3" s="74" t="inlineStr">
        <is>
          <t>Partly met, revisit in class</t>
        </is>
      </c>
      <c r="G3" s="76" t="inlineStr">
        <is>
          <t>RED</t>
        </is>
      </c>
      <c r="H3" s="74" t="inlineStr">
        <is>
          <t>Not met, pick up through intervention</t>
        </is>
      </c>
    </row>
    <row r="4"/>
    <row r="5" ht="27.75" customHeight="1" s="42">
      <c r="A5" s="53" t="inlineStr">
        <is>
          <t>Week (w/c)</t>
        </is>
      </c>
      <c r="B5" s="53" t="inlineStr">
        <is>
          <t>Pathway</t>
        </is>
      </c>
      <c r="C5" s="53" t="inlineStr">
        <is>
          <t>Subject</t>
        </is>
      </c>
      <c r="D5" s="53" t="inlineStr">
        <is>
          <t>Outcome reviewed</t>
        </is>
      </c>
      <c r="E5" s="53" t="inlineStr">
        <is>
          <t>Marking / evidence</t>
        </is>
      </c>
      <c r="F5" s="53" t="inlineStr">
        <is>
          <t>RAG</t>
        </is>
      </c>
      <c r="G5" s="53" t="inlineStr">
        <is>
          <t>Students not yet secure</t>
        </is>
      </c>
      <c r="H5" s="53" t="inlineStr">
        <is>
          <t>Picked up via</t>
        </is>
      </c>
      <c r="I5" s="53" t="inlineStr">
        <is>
          <t>Action &amp; timescale</t>
        </is>
      </c>
    </row>
    <row r="6" ht="30" customHeight="1" s="42">
      <c r="A6" s="77" t="n">
        <v>46307</v>
      </c>
      <c r="B6" s="70" t="inlineStr">
        <is>
          <t>BUILD</t>
        </is>
      </c>
      <c r="C6" s="70" t="inlineStr">
        <is>
          <t>English</t>
        </is>
      </c>
      <c r="D6" s="55" t="inlineStr">
        <is>
          <t>Students completed a low-pressure baseline task: read a profile, write a paragraph and share one goal.</t>
        </is>
      </c>
      <c r="E6" s="70" t="n"/>
      <c r="F6" s="70" t="n"/>
      <c r="G6" s="70" t="n"/>
      <c r="H6" s="70" t="n"/>
      <c r="I6" s="70" t="n"/>
    </row>
    <row r="7" ht="30" customHeight="1" s="42">
      <c r="A7" s="77" t="n">
        <v>46307</v>
      </c>
      <c r="B7" s="56" t="inlineStr">
        <is>
          <t>BUILD</t>
        </is>
      </c>
      <c r="C7" s="70" t="inlineStr">
        <is>
          <t>Maths</t>
        </is>
      </c>
      <c r="D7" s="58" t="inlineStr">
        <is>
          <t>I can identify equivalent fractions and simplify fractions to their lowest terms.</t>
        </is>
      </c>
      <c r="E7" s="70" t="n"/>
      <c r="F7" s="70" t="n"/>
      <c r="G7" s="70" t="n"/>
      <c r="H7" s="70" t="n"/>
      <c r="I7" s="70" t="n"/>
    </row>
    <row r="8" ht="30" customHeight="1" s="42">
      <c r="A8" s="77" t="n">
        <v>46307</v>
      </c>
      <c r="B8" s="56" t="inlineStr">
        <is>
          <t>BUILD</t>
        </is>
      </c>
      <c r="C8" s="56" t="inlineStr">
        <is>
          <t>Science</t>
        </is>
      </c>
      <c r="D8" s="56" t="inlineStr">
        <is>
          <t>I can explain that animals get their food by eating, and plants do not.</t>
        </is>
      </c>
      <c r="E8" s="56" t="n"/>
      <c r="F8" s="56" t="n"/>
      <c r="G8" s="56" t="n"/>
      <c r="H8" s="56" t="n"/>
      <c r="I8" s="56" t="n"/>
    </row>
    <row r="9" ht="30" customHeight="1" s="42">
      <c r="A9" s="77" t="n">
        <v>46307</v>
      </c>
      <c r="B9" s="56" t="inlineStr">
        <is>
          <t>BUILD</t>
        </is>
      </c>
      <c r="C9" s="56" t="inlineStr">
        <is>
          <t>PSHE / RSE</t>
        </is>
      </c>
      <c r="D9" s="56" t="inlineStr">
        <is>
          <t>I can help plan a small action that makes our community better.</t>
        </is>
      </c>
      <c r="E9" s="56" t="n"/>
      <c r="F9" s="56" t="n"/>
      <c r="G9" s="56" t="n"/>
      <c r="H9" s="56" t="n"/>
      <c r="I9" s="56" t="n"/>
    </row>
    <row r="10" ht="30" customHeight="1" s="42">
      <c r="A10" s="77" t="n">
        <v>46307</v>
      </c>
      <c r="B10" s="56" t="inlineStr">
        <is>
          <t>BUILD</t>
        </is>
      </c>
      <c r="C10" s="56" t="inlineStr">
        <is>
          <t>Humanities</t>
        </is>
      </c>
      <c r="D10" s="56" t="inlineStr">
        <is>
          <t>I can tell my migration story and say if my source helped.</t>
        </is>
      </c>
      <c r="E10" s="56" t="n"/>
      <c r="F10" s="56" t="n"/>
      <c r="G10" s="56" t="n"/>
      <c r="H10" s="56" t="n"/>
      <c r="I10" s="56" t="n"/>
    </row>
    <row r="11" ht="30" customHeight="1" s="42">
      <c r="A11" s="77" t="n">
        <v>46307</v>
      </c>
      <c r="B11" s="56" t="inlineStr">
        <is>
          <t>BUILD</t>
        </is>
      </c>
      <c r="C11" s="56" t="inlineStr">
        <is>
          <t>Arts (Arts Award)</t>
        </is>
      </c>
      <c r="D11" s="56" t="inlineStr">
        <is>
          <t>I can show my artwork and say one thing I did well and one next step.</t>
        </is>
      </c>
      <c r="E11" s="56" t="n"/>
      <c r="F11" s="56" t="n"/>
      <c r="G11" s="56" t="n"/>
      <c r="H11" s="56" t="n"/>
      <c r="I11" s="56" t="n"/>
    </row>
    <row r="12" ht="30" customHeight="1" s="42">
      <c r="A12" s="77" t="n">
        <v>46307</v>
      </c>
      <c r="B12" s="56" t="inlineStr">
        <is>
          <t>BUILD</t>
        </is>
      </c>
      <c r="C12" s="69" t="inlineStr">
        <is>
          <t>RE</t>
        </is>
      </c>
      <c r="D12" s="60" t="inlineStr">
        <is>
          <t>I can take part in Remembrance quietly and say why we remember.</t>
        </is>
      </c>
      <c r="E12" s="69" t="n"/>
      <c r="F12" s="69" t="n"/>
      <c r="G12" s="69" t="n"/>
      <c r="H12" s="69" t="n"/>
      <c r="I12" s="69" t="n"/>
    </row>
    <row r="13" ht="30" customHeight="1" s="42">
      <c r="A13" s="78" t="n">
        <v>46307</v>
      </c>
      <c r="B13" s="69" t="inlineStr">
        <is>
          <t>BUILD</t>
        </is>
      </c>
      <c r="C13" s="69" t="inlineStr">
        <is>
          <t>ASDAN PEQ (WellbLeE3)</t>
        </is>
      </c>
      <c r="D13" s="69" t="inlineStr">
        <is>
          <t>I can find anything missing from my portfolio and add it.</t>
        </is>
      </c>
      <c r="E13" s="69" t="inlineStr">
        <is>
          <t>PEQ portfolio: photos + scribed voice + witness statements</t>
        </is>
      </c>
      <c r="F13" s="69" t="n"/>
      <c r="G13" s="69" t="n"/>
      <c r="H13" s="69" t="n"/>
      <c r="I13" s="69" t="n"/>
    </row>
    <row r="14" ht="30" customHeight="1" s="42">
      <c r="A14" s="79" t="n">
        <v>46307</v>
      </c>
      <c r="B14" s="70" t="inlineStr">
        <is>
          <t>BUILD</t>
        </is>
      </c>
      <c r="C14" s="70" t="inlineStr">
        <is>
          <t>PfA — ASDAN LI</t>
        </is>
      </c>
      <c r="D14" s="70" t="inlineStr">
        <is>
          <t>Evidence week: I can complete Module 1 Section A challenges (skills grid + sign-off).</t>
        </is>
      </c>
      <c r="E14" s="70" t="inlineStr">
        <is>
          <t>LI portfolio: challenge evidence + skills grid</t>
        </is>
      </c>
      <c r="F14" s="70" t="n"/>
      <c r="G14" s="70" t="n"/>
      <c r="H14" s="70" t="n"/>
      <c r="I14" s="70" t="n"/>
    </row>
    <row r="15" ht="25.5" customHeight="1" s="42">
      <c r="A15" s="78" t="n">
        <v>46307</v>
      </c>
      <c r="B15" s="69" t="inlineStr">
        <is>
          <t>BUILD</t>
        </is>
      </c>
      <c r="C15" s="69" t="inlineStr">
        <is>
          <t>PfA — ASDAN FoodWise</t>
        </is>
      </c>
      <c r="D15" s="69" t="inlineStr">
        <is>
          <t>Evidence week: I can complete Module 1 Section A challenges (skills grid + sign-off).</t>
        </is>
      </c>
      <c r="E15" s="69" t="inlineStr">
        <is>
          <t>FoodWise portfolio: challenge evidence + photos</t>
        </is>
      </c>
      <c r="F15" s="69" t="n"/>
      <c r="G15" s="69" t="n"/>
      <c r="H15" s="69" t="n"/>
      <c r="I15" s="69" t="n"/>
    </row>
    <row r="16" ht="25.5" customHeight="1" s="42">
      <c r="A16" s="70" t="n"/>
      <c r="B16" s="70" t="n"/>
      <c r="C16" s="70" t="n"/>
      <c r="D16" s="70" t="n"/>
      <c r="E16" s="70" t="n"/>
      <c r="F16" s="70" t="n"/>
      <c r="G16" s="70" t="n"/>
      <c r="H16" s="70" t="n"/>
      <c r="I16" s="70" t="n"/>
    </row>
    <row r="17" ht="25.5" customHeight="1" s="42">
      <c r="A17" s="69" t="n"/>
      <c r="B17" s="69" t="n"/>
      <c r="C17" s="69" t="n"/>
      <c r="D17" s="69" t="n"/>
      <c r="E17" s="69" t="n"/>
      <c r="F17" s="69" t="n"/>
      <c r="G17" s="69" t="n"/>
      <c r="H17" s="69" t="n"/>
      <c r="I17" s="69" t="n"/>
    </row>
    <row r="18" ht="25.5" customHeight="1" s="42">
      <c r="A18" s="70" t="n"/>
      <c r="B18" s="70" t="n"/>
      <c r="C18" s="70" t="n"/>
      <c r="D18" s="70" t="n"/>
      <c r="E18" s="70" t="n"/>
      <c r="F18" s="70" t="n"/>
      <c r="G18" s="70" t="n"/>
      <c r="H18" s="70" t="n"/>
      <c r="I18" s="70" t="n"/>
    </row>
    <row r="19" ht="25.5" customHeight="1" s="42">
      <c r="A19" s="69" t="n"/>
      <c r="B19" s="69" t="n"/>
      <c r="C19" s="69" t="n"/>
      <c r="D19" s="69" t="n"/>
      <c r="E19" s="69" t="n"/>
      <c r="F19" s="69" t="n"/>
      <c r="G19" s="69" t="n"/>
      <c r="H19" s="69" t="n"/>
      <c r="I19" s="69" t="n"/>
    </row>
    <row r="20" ht="25.5" customHeight="1" s="42">
      <c r="A20" s="70" t="n"/>
      <c r="B20" s="70" t="n"/>
      <c r="C20" s="70" t="n"/>
      <c r="D20" s="70" t="n"/>
      <c r="E20" s="70" t="n"/>
      <c r="F20" s="70" t="n"/>
      <c r="G20" s="70" t="n"/>
      <c r="H20" s="70" t="n"/>
      <c r="I20" s="70" t="n"/>
    </row>
    <row r="21" ht="25.5" customHeight="1" s="42">
      <c r="A21" s="69" t="n"/>
      <c r="B21" s="69" t="n"/>
      <c r="C21" s="69" t="n"/>
      <c r="D21" s="69" t="n"/>
      <c r="E21" s="69" t="n"/>
      <c r="F21" s="69" t="n"/>
      <c r="G21" s="69" t="n"/>
      <c r="H21" s="69" t="n"/>
      <c r="I21" s="69" t="n"/>
    </row>
    <row r="22" ht="25.5" customHeight="1" s="42"/>
    <row r="23" ht="25.5" customHeight="1" s="42">
      <c r="C23" s="80" t="inlineStr">
        <is>
          <t>This sheet:</t>
        </is>
      </c>
      <c r="D23" s="81">
        <f>COUNTIF($F$8:$F$18,"Green")</f>
        <v/>
      </c>
      <c r="E23" s="82">
        <f>COUNTIF($F$8:$F$18,"Amber")</f>
        <v/>
      </c>
      <c r="F23" s="83">
        <f>COUNTIF($F$8:$F$18,"Red")</f>
        <v/>
      </c>
    </row>
    <row r="24" ht="25.5" customHeight="1" s="42">
      <c r="D24" s="84" t="inlineStr">
        <is>
          <t>Green</t>
        </is>
      </c>
      <c r="E24" s="84" t="inlineStr">
        <is>
          <t>Amber</t>
        </is>
      </c>
      <c r="F24" s="84" t="inlineStr">
        <is>
          <t>Red</t>
        </is>
      </c>
    </row>
    <row r="25" ht="25.5" customHeight="1" s="42"/>
    <row r="26" ht="25.5" customHeight="1" s="42"/>
  </sheetData>
  <mergeCells count="5">
    <mergeCell ref="A2:I2"/>
    <mergeCell ref="B3:C3"/>
    <mergeCell ref="A1:I1"/>
    <mergeCell ref="E3:F3"/>
    <mergeCell ref="H3:I3"/>
  </mergeCells>
  <conditionalFormatting sqref="F6:F26">
    <cfRule type="cellIs" rank="0" priority="2" equalAverage="0" operator="equal" aboveAverage="0" dxfId="0" text="" percent="0" bottom="0">
      <formula>"Green"</formula>
    </cfRule>
    <cfRule type="cellIs" rank="0" priority="3" equalAverage="0" operator="equal" aboveAverage="0" dxfId="3" text="" percent="0" bottom="0">
      <formula>"Amber"</formula>
    </cfRule>
    <cfRule type="cellIs" rank="0" priority="4" equalAverage="0" operator="equal" aboveAverage="0" dxfId="4" text="" percent="0" bottom="0">
      <formula>"Red"</formula>
    </cfRule>
  </conditionalFormatting>
  <dataValidations count="4">
    <dataValidation sqref="B6:B26" showDropDown="0" showInputMessage="0" showErrorMessage="0" allowBlank="1" errorTitle="Choose from the list" error="Pick a value from the list." type="list" errorStyle="stop" operator="between">
      <formula1>"BUILD,GROW,LAUNCH"</formula1>
      <formula2>0</formula2>
    </dataValidation>
    <dataValidation sqref="C6:C26" showDropDown="0" showInputMessage="0" showErrorMessage="0" allowBlank="1" errorTitle="Choose from the list" error="Pick a value from the list." type="list" errorStyle="stop" operator="between">
      <formula1>"English,Maths,Science,PSHE / RSE,RE,Humanities,Arts (Arts Award),PE,Careers / Vocational (ASDAN),Computing / Digital,Personal Development / PfA"</formula1>
      <formula2>0</formula2>
    </dataValidation>
    <dataValidation sqref="F6:F26" showDropDown="0" showInputMessage="0" showErrorMessage="0" allowBlank="1" errorTitle="Choose from the list" error="Pick a value from the list." type="list" errorStyle="stop" operator="between">
      <formula1>"Green,Amber,Red"</formula1>
      <formula2>0</formula2>
    </dataValidation>
    <dataValidation sqref="H6:H26" showDropDown="0" showInputMessage="0" showErrorMessage="0" allowBlank="1" errorTitle="Choose from the list" error="Pick a value from the list." type="list" errorStyle="stop" operator="between">
      <formula1>"Achieved (move on),Revisit in class,Intervention"</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2026-06-22T07:46:21Z</dcterms:created>
  <dcterms:modified xsi:type="dcterms:W3CDTF">2026-07-29T16:31:01Z</dcterms:modified>
  <cp:lastModifiedBy>Helen Stewart</cp:lastModifiedBy>
  <cp:revision>0</cp:revision>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0x0101002C6E38C4B2056147BFEE88C7F682B392</vt:lpwstr>
  </property>
  <property name="MediaServiceImageTags" fmtid="{D5CDD505-2E9C-101B-9397-08002B2CF9AE}" pid="3">
    <vt:lpwstr/>
  </property>
</Properties>
</file>