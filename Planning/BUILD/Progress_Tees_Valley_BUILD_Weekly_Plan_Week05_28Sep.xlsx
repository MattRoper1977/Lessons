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Weekly Plan" sheetId="1" state="visible" r:id="rId3"/>
    <sheet name="Students" sheetId="2" state="visible" r:id="rId4"/>
    <sheet name="Outcomes RA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<sst xmlns="http://schemas.openxmlformats.org/spreadsheetml/2006/main" count="238" uniqueCount="184">
  <si>
    <t xml:space="preserve">Weekly Planner - To be submitted to Head of School prior to the start of each Half-Term</t>
  </si>
  <si>
    <t xml:space="preserve">Progress Schools  ·  linked to the 2026/27 Schemes of Work</t>
  </si>
  <si>
    <t xml:space="preserve">Pathway</t>
  </si>
  <si>
    <t xml:space="preserve">BUILD</t>
  </si>
  <si>
    <t xml:space="preserve">Week no.</t>
  </si>
  <si>
    <t xml:space="preserve">Term</t>
  </si>
  <si>
    <t xml:space="preserve">Autumn</t>
  </si>
  <si>
    <t xml:space="preserve">Group / class</t>
  </si>
  <si>
    <t xml:space="preserve">Theme</t>
  </si>
  <si>
    <t xml:space="preserve">Teacher</t>
  </si>
  <si>
    <t xml:space="preserve">Week commencing</t>
  </si>
  <si>
    <t xml:space="preserve">Reviewed by</t>
  </si>
  <si>
    <t xml:space="preserve">SMSC/BV this week: Black History Month launches (Thu 1 Oct, runs to W8) — Build Humanities' BHM profile wall carries it; English picks up a BHM poem next week.  National Poetry Day Thu 1 Oct (tbc).  EVIDENCE: 'People Who Shaped Britain' wall + EFL: cultural → SMSC Evidence Tracker.</t>
  </si>
  <si>
    <t xml:space="preserve">Subject</t>
  </si>
  <si>
    <t xml:space="preserve">SoW unit (this term)</t>
  </si>
  <si>
    <t xml:space="preserve">This week's outcome</t>
  </si>
  <si>
    <t xml:space="preserve">Activities</t>
  </si>
  <si>
    <t xml:space="preserve">Key vocabulary</t>
  </si>
  <si>
    <t xml:space="preserve">Resources required</t>
  </si>
  <si>
    <t xml:space="preserve">Assess. (F/S)</t>
  </si>
  <si>
    <t xml:space="preserve">Student adaptations</t>
  </si>
  <si>
    <t xml:space="preserve">Classroom support</t>
  </si>
  <si>
    <t xml:space="preserve">Evaluation (after teaching)</t>
  </si>
  <si>
    <t xml:space="preserve">English</t>
  </si>
  <si>
    <t xml:space="preserve">Identity &amp; Belonging: belonging at school and work</t>
  </si>
  <si>
    <t xml:space="preserve">I can read a simple article about belonging and explain one main idea.</t>
  </si>
  <si>
    <t xml:space="preserve">Arrival: key word match → read a short article about belonging at school/work → underline one main idea → answer 'What is this mostly about?' → write/say one reason.</t>
  </si>
  <si>
    <t xml:space="preserve">belonging, community, inclusion, main idea, reason, respect</t>
  </si>
  <si>
    <t xml:space="preserve">Short article; main idea cards; highlighters; sentence stems.</t>
  </si>
  <si>
    <t xml:space="preserve">F</t>
  </si>
  <si>
    <t xml:space="preserve">Chunked article; vocabulary pre-teach; main idea choices; verbal response allowed.</t>
  </si>
  <si>
    <t xml:space="preserve">TA supports reading and prompts students to choose evidence. Teacher notes inference readiness.</t>
  </si>
  <si>
    <t xml:space="preserve">Record who can identify main idea with/without choices.</t>
  </si>
  <si>
    <t xml:space="preserve">Maths</t>
  </si>
  <si>
    <t xml:space="preserve">Number, calculation &amp; fractions (Y5/6)</t>
  </si>
  <si>
    <t xml:space="preserve">I can multiply and divide numbers by 10, 100 and 1000 and identify multiples and factors of numbers.</t>
  </si>
  <si>
    <t xml:space="preserve">Place value movement investigations.
Multiplying and dividing whole numbers and decimals.
Factor and multiple sorting cards.
Times-table fluency games.
Problem-solving challenges.</t>
  </si>
  <si>
    <t xml:space="preserve">Multiply
Divide
Factor
Multiple
Product
Quotient
Place value</t>
  </si>
  <si>
    <t xml:space="preserve">Place value charts
Multiplication grids
Factor cards
Calculators
Interactive activities</t>
  </si>
  <si>
    <t xml:space="preserve">Concrete place value movement models.
Times table support sheets.
Smaller number examples.
Stretch through factor investigations.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</si>
  <si>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Visual demonstrations.
Guided practice.
Targeted intervention.</t>
  </si>
  <si>
    <t xml:space="preserve">Multiplication and division quiz.
Factor/multiple challenge.
Observation of fluency.
Exit questions.</t>
  </si>
  <si>
    <t xml:space="preserve">Science</t>
  </si>
  <si>
    <t xml:space="preserve">Animals including humans: skeletons, movement &amp; nutrition (White Rose Science Y3) · Pearson Entry Level Science 8939 intro (supported entry) · ladders toward Grow ELC → GCSE Biology 1BI0 (Launch) · SoW Aut1·W5  [REALIGNED to SoW]</t>
  </si>
  <si>
    <t xml:space="preserve">I can show how muscles move my bones.</t>
  </si>
  <si>
    <t xml:space="preserve">Hands-on &amp; catch-up-proof: 'point to the bone' recap opens.  Arrival: squeeze your own bicep and bend your arm — feel it get hard and short. I DO: model the pair — bicep PULLS (shortens) to bend, tricep PULLS to straighten. Muscles only PULL, never push. WE DO: work the arm model / balloon-and-card model together. YOU DO: build the arm model; make it bend and straighten; feel your partner's bicep. EXIT: 'My muscle PULLS my bone.'  MISCONCEPTION (strike through) — THE BIG ONE: muscles do NOT push.  LINK: the elbow is a lever — GROW are doing levers in the same room this week.</t>
  </si>
  <si>
    <t xml:space="preserve">muscle, bicep, tricep, pull, contract, relax, bend, straighten, pair, joint, elbow</t>
  </si>
  <si>
    <t xml:space="preserve">Arm model (card + split pin + elastic/balloon); split pins; card strips; skeleton model; muscle symbol cards; camera; word mat; magenta copies.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</si>
  <si>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Feeling their own bicep is the evidence — the model only confirms it. Building the arm model is fine-motor work; pre-punched card for anyone who needs it.</t>
  </si>
  <si>
    <t xml:space="preserve">TA pre-punches card and helps with split pins. Teacher says 'PULL' with a gesture every single time — GESTURE ANCHOR: fist pulled to shoulder = contract. LOOP [Feedback Policy]: Voice = build/feel/say 'pull' [VF, ?] → Audience: say what the muscle did; [R] once received → EVIDENCE: arm-model video clip, upload same day [E: science — daily EFL; banks ELC 8939].</t>
  </si>
  <si>
    <t xml:space="preserve">Note who says PULL rather than push.  → Influence: shared plenary with GROW on the elbow-as-lever is worth 5 minutes — same room, same idea, two rungs [NS].</t>
  </si>
  <si>
    <t xml:space="preserve">PSHE / RSE</t>
  </si>
  <si>
    <t xml:space="preserve">Identity, rights &amp; British values (PSHE Association KS3, adapted) · AQA UAS 'Rights &amp; responsibilities' · ladders toward Grow PSHE · SoW Aut1·W5</t>
  </si>
  <si>
    <t xml:space="preserve">I can make a safer choice and say why.</t>
  </si>
  <si>
    <t xml:space="preserve">Zones check-in settles the session.  Freedom line-up — place 'free to / not free to' cards along a rope line: where is the line and why? → choice-point freeze-frames: walk through real scenarios (spending, friends, online) and PAUSE at the decision moment — name the risk, choose, say why → build a pocket 'good decision' card: 3 personal steps in pictures, to keep → exit: show your card.  EVIDENCE: freeze-frame photos + pocket cards (banks AQA UAS).  GROW STRETCH: 'Going for Grow' card — what would you tell a mate at the same choice point?</t>
  </si>
  <si>
    <t xml:space="preserve">choice, risk, safe, decision, pause, consequence, freedom</t>
  </si>
  <si>
    <t xml:space="preserve">Free/not-free cards + rope line; scenario walk cards; pocket-card blanks + picture steps;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</si>
  <si>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Scenarios walked, not discussed cold; the freeze gives thinking time by design (suits Pupil A); the pocket card is pictures only.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</si>
  <si>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plays the second character in freeze-frames and scribes choices.  LOOP [Feedback Policy]: Voice = freeze/choose/say why [VF] → Audience: name the risk spotted back; [R] when the pause is used for real → EVIDENCE: photos + card, same day [E: BV individual liberty — daily EFL; banks AQA UAS].</t>
  </si>
  <si>
    <t xml:space="preserve">Influence: pocket cards go home — note who names a risk unprompted; feeds W6's respectful-disagreement stems [NS].</t>
  </si>
  <si>
    <t xml:space="preserve">RE</t>
  </si>
  <si>
    <t xml:space="preserve">Belief, festivals &amp; belonging (Kapow + RE, adapted) · ladders toward Grow RE · SoW Aut1·W5</t>
  </si>
  <si>
    <t xml:space="preserve">I can sort what Christmas means to Christians from how people celebrate.</t>
  </si>
  <si>
    <t xml:space="preserve">Arrival: image sort — nativity / decorations / presents into 'the story' vs 'the party' hoops → nativity told via a team race to order the big picture cards → hands-on: Christingle making — every element means something, and each part is 'earned' by saying or pointing to its meaning → exit: hold up your Christingle and name one part.  EVIDENCE: photo + spoken/pointed explanation to the Festivals display.  GROW STRETCH: 'Going for Grow' card — explain why light appears in this festival too.</t>
  </si>
  <si>
    <t xml:space="preserve">Christmas, Christian, nativity, Christingle, symbol, sacred, celebrate</t>
  </si>
  <si>
    <t xml:space="preserve">Story/party hoops + image cards; big nativity sequence cards; Christingle kits (oranges, candles, ribbon, sweets — CHECK ALLERGIES);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</si>
  <si>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Sorting hoops are physical; earning parts by POINTING counts on the first rung; candle lit by staff only.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</si>
  <si>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runs the Christingle line and captures each explanation.  LOOP [Feedback Policy]: Voice = sort/race/earn-a-part [VF, ?] → Audience: name the symbol meaning back; [R] once received → EVIDENCE: photo + clip, same day [E: cultural — daily EFL].</t>
  </si>
  <si>
    <t xml:space="preserve">Influence: third column of the W6 grid banked — the 'light' thread should now be pupil-spotted, not teacher-fed [NS].</t>
  </si>
  <si>
    <t xml:space="preserve">Humanities</t>
  </si>
  <si>
    <t xml:space="preserve">Migration &amp; identity in Britain (Kapow History, adapted) · NC KS2, supported · AQA UAS 'History around us' · ladders toward Grow Humanities · SoW Aut1·W5</t>
  </si>
  <si>
    <t xml:space="preserve">I can say whether my person or event was a big deal and give one reason.</t>
  </si>
  <si>
    <t xml:space="preserve">Arrival: 'big deal or small deal?' — rank 3 everyday events on a floor line (lost my pen → moved house) → model 'important because it changed…' → we do: judge one class event together and give the reason → you do: place your Week 4 figure on the importance line and complete 'important because…' — say, record or stick it → exit: defend your spot in one line.  EVIDENCE: line photo + reasons (banks AQA UAS).  GROW STRETCH: 'Going for Grow' card — compare two figures: who changed MORE?</t>
  </si>
  <si>
    <t xml:space="preserve">important, significant, big deal, changed, reason, judge, compare</t>
  </si>
  <si>
    <t xml:space="preserve">Floor importance line; everyday-event cards; W4 profile cards; reason strips;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</si>
  <si>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The line is walked; reasons said or scribed; 'because it changed…' stem carried on a card.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</si>
  <si>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challenges gently ('why higher than…?') and scribes each defence.  LOOP [Feedback Policy]: Voice = place/say the reason [VF, ?] → Audience: name the change-claim back; [R] once received → EVIDENCE: line photo + strips, same day [E: humanities — daily EFL; banks AQA UAS].</t>
  </si>
  <si>
    <t xml:space="preserve">Influence: who reasons about change vs restates facts shapes W6's account planning — record the change made [NS].</t>
  </si>
  <si>
    <t xml:space="preserve">Arts (Arts Award)</t>
  </si>
  <si>
    <t xml:space="preserve">Identity in art &amp; developing skills (Trinity Arts Award Explore, supported) · AQA UAS 'Creating artwork' · toward Explore completion → Bronze (Launch) · SoW Creative Arts</t>
  </si>
  <si>
    <t xml:space="preserve">I can make one improvement to my artwork and show before and after.</t>
  </si>
  <si>
    <t xml:space="preserve">Arrival: 'star and a step' on a demo piece — one thing you like, one to change → model one small improvement (more contrast, add a symbol, build the texture) → we do: improve the demo together → you do: make ONE improvement to your identity piece; before/after photos into the log → exit: 'I improved… by…' — say, point or scribe.  EVIDENCE: before/after pair in the Explore log.  GROW STRETCH: 'Going for Grow' card — say what you'd improve NEXT and why.</t>
  </si>
  <si>
    <t xml:space="preserve">improve, star, step, before, after, change, contrast</t>
  </si>
  <si>
    <t xml:space="preserve">Demo piece; each pupil's W4 artwork; improvement materials; Explore log;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</si>
  <si>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One improvement only — protects the piece and the confidence; the before photo is taken BY the pupil (ownership).  Pupil B: texture/pattern improvements offered first.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</si>
  <si>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shoots the pairs and scribes the improved-by line.  LOOP [Feedback Policy]: Voice = improve + pair + comment [VF] → Audience: name the improvement back; [R] then one next step [NS] → EVIDENCE: before/after to the Explore log, same day [E: Arts Award].</t>
  </si>
  <si>
    <t xml:space="preserve">Influence: review-and-improve is an Explore behaviour — flag who initiates their own step for moderation [NS].</t>
  </si>
  <si>
    <t xml:space="preserve">PE</t>
  </si>
  <si>
    <t xml:space="preserve">ASDAN PEQ (WellbLeE3)</t>
  </si>
  <si>
    <t xml:space="preserve">ASDAN PEQ · WellbLeE3 · Aut·W5 — E3.3 strategies that work for me</t>
  </si>
  <si>
    <t xml:space="preserve">I can choose a strategy that helps me learn.</t>
  </si>
  <si>
    <t xml:space="preserve">Arrival: try three strategies for real — movement break · ear defenders · a checklist. I DO: model choosing one and saying why. WE DO: rate each thumbs up/down. YOU DO: pick your top strategy; adult scribes the reason; photo. E3.3 evidenced. These trials are the raw material for the PLAN created in W9–W10 — keep every rating sheet.</t>
  </si>
  <si>
    <t xml:space="preserve">strategy, choose, works, movement, break, checklist, quiet, try</t>
  </si>
  <si>
    <t xml:space="preserve">Strategy kit (ear defenders, checklists, timers, movement cards); thumbs rating board; Evidence Binder; camera.</t>
  </si>
  <si>
    <t xml:space="preserve">All three strategies physically trialled before choosing; ear defenders/breaks live options during the trial; chosen strategy photographed not written</t>
  </si>
  <si>
    <t xml:space="preserve">TA supervises strategy trials and writes one witness statement per pupil naming the chosen technique (E3.3.2); teacher checks two ways minimum are evidenced (E3.3.1)</t>
  </si>
  <si>
    <t xml:space="preserve">Slot 1 · Careers (ASDAN)</t>
  </si>
  <si>
    <t xml:space="preserve">Careers &amp; world of work — strengths to jobs (evidences ASDAN Living Independently M8; AQA UAS)</t>
  </si>
  <si>
    <t xml:space="preserve">I can name skills employers want and give an example of mine.</t>
  </si>
  <si>
    <t xml:space="preserve">Skills auction game → match employer skills to W1 strengths → record the PEQ link.</t>
  </si>
  <si>
    <t xml:space="preserve">strength, skill, job, worker, employer, routine, profile, evidence</t>
  </si>
  <si>
    <t xml:space="preserve">Strength cards; local jobs photo bank; profile posters; visitor link. W1 lesson: BUILD_L1_Careers_Strengths.html (evidence print incl. Yellow Box/WWW-EBI footer).</t>
  </si>
  <si>
    <t xml:space="preserve"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</si>
  <si>
    <t xml:space="preserve">TA runs paired talk with stems; scribes for reluctant writers (note “TA scribed”); champions Pupil A early and often.</t>
  </si>
  <si>
    <t xml:space="preserve">Slot 2 · Vocational / D&amp;T (ASDAN)</t>
  </si>
  <si>
    <t xml:space="preserve">D&amp;T via ASDAN tasters: kitchen skills → Textiles design-make-evaluate (Aut1); Construction from Aut2</t>
  </si>
  <si>
    <t xml:space="preserve">I can cut out my design safely and begin to make it.</t>
  </si>
  <si>
    <t xml:space="preserve">Mark out with templates → safe cutting practice → begin assembly with modelled joins.</t>
  </si>
  <si>
    <t xml:space="preserve">tool, safety, hygiene, recipe, fabric, join, design, evaluate</t>
  </si>
  <si>
    <t xml:space="preserve">Kitchen + tools, PPE, recipe cards; fabrics &amp; fastenings. W1 lesson: BUILD_L1_Vocational_Kitchen_Induction.html.</t>
  </si>
  <si>
    <t xml:space="preserve">TA runs safe-carry / wash-up stations; signs skill cards only when genuinely met; models every technique first.</t>
  </si>
  <si>
    <t xml:space="preserve">Slot 3 · PfA — ASDAN Living Independently</t>
  </si>
  <si>
    <t xml:space="preserve">ASDAN LI — M1 Earning &amp; Spending Money (Aut1) → M2 Keeping Track of Your Money (Aut2); Section A: 4 challenges over ~10 hrs = 1 credit per module</t>
  </si>
  <si>
    <t xml:space="preserve">Everyday prices: I can estimate and compare the cost of essentials (links Numeracy).</t>
  </si>
  <si>
    <t xml:space="preserve">Price-tag estimation game → compare two shops for the same basket → cheapest-basket challenge.</t>
  </si>
  <si>
    <t xml:space="preserve">income, spending, wages, benefits, payslip, price, budget, bank</t>
  </si>
  <si>
    <t xml:space="preserve">Practice money + tins, payslip, price tags, money-map paper, spending diary; LI student book / e-portfolio. W1 lesson: BUILD_L1_LI_Where_Money_Comes_From.html.</t>
  </si>
  <si>
    <t xml:space="preserve">TA runs wage-packet counting 1:1; money talk stays judgement-free; NO personal family finances recorded.</t>
  </si>
  <si>
    <t xml:space="preserve">Slot 4 · PfA — ASDAN FoodWise</t>
  </si>
  <si>
    <t xml:space="preserve">ASDAN FoodWise — M1 Healthy Eating (Aut1) → M2 Basic Food Safety (Aut2); Section A: 4 challenges over ~10 hrs = 1 credit per module</t>
  </si>
  <si>
    <t xml:space="preserve">Practical: I can make a healthy snack hygienically (photo + self-check).</t>
  </si>
  <si>
    <t xml:space="preserve">Hygiene routine → paired make → self-check sheet + photo evidence.</t>
  </si>
  <si>
    <t xml:space="preserve">food group, carbohydrate, protein, dairy, balance, label, hygiene, safety</t>
  </si>
  <si>
    <t xml:space="preserve">Eatwell mat + real foods, packaging for traffic-light labels, kitchen, display kit; FoodWise student book. SMSC anchor: World Food Day 16 Oct. W1 lesson: FW_L1_Food_Groups.html.</t>
  </si>
  <si>
    <t xml:space="preserve">TA runs food-handling hygiene checks; allergy list confirmed with the office before EVERY food session; photo evidence per pupil per practical.</t>
  </si>
  <si>
    <t xml:space="preserve">Slot 5 · Community A — Community Project &amp; Vocational</t>
  </si>
  <si>
    <t xml:space="preserve">Community Project &amp; Vocational — sustained local contribution; ASDAN/UAS community evidence. Trips/Visits policy applies to ALL off-site work (approval 4 weeks ahead, min. two staff).</t>
  </si>
  <si>
    <t xml:space="preserve">I can make first contact with a local partner or visitor.</t>
  </si>
  <si>
    <t xml:space="preserve">Draft and send the contact message together (scribed/typed) → prepare our questions.</t>
  </si>
  <si>
    <t xml:space="preserve">community, project, partner, role, responsibility, contribute, evidence</t>
  </si>
  <si>
    <t xml:space="preserve">Local partner venue; PPE as required; project log; camera. ICT embedded: digital project log.</t>
  </si>
  <si>
    <t xml:space="preserve">TA supports allocated roles and captures the weekly log; off-site checklist confirmed before leaving site every time.</t>
  </si>
  <si>
    <t xml:space="preserve">Slot 6 · Community B — Junior/Young Duke + Social Enterprise</t>
  </si>
  <si>
    <t xml:space="preserve">Junior/Young Duke (Capable Kids) challenge levels + community &amp; social enterprise action · AQA UAS “Personal challenge”.</t>
  </si>
  <si>
    <t xml:space="preserve">I can begin an eco/community challenge (links Humanities).</t>
  </si>
  <si>
    <t xml:space="preserve">Litter pick or planting task (links Humanities) → before/after photos.</t>
  </si>
  <si>
    <t xml:space="preserve">challenge, pledge, evidence, resilience, kindness, independence</t>
  </si>
  <si>
    <t xml:space="preserve">Junior/Young Duke booklets (first aid, cookery, eco, independence challenges); challenge log; camera/tablet. SMSC anchors: Anti-Bullying Week 16–20 Nov, World Kindness Day 13 Nov.</t>
  </si>
  <si>
    <t xml:space="preserve">TA witnesses and photographs each challenge attempt; tutor signs off only genuinely met challenges; pledge wall kept current.</t>
  </si>
  <si>
    <t xml:space="preserve">Enrichment &amp; wider opportunities this week   (trips, visitors, themed days, SMSC calendar link, PfA / community)</t>
  </si>
  <si>
    <t xml:space="preserve">Thu 1 Oct: Black History Month launches — BHM profile wall begins (Humanities/Arts).  National Poetry Day Thu 1 Oct (tbc).  Whole-school theme assembly: Identity &amp; Belonging → diverse Britain.  PfA / community: local walk.</t>
  </si>
  <si>
    <t xml:space="preserve">Resources &amp; support to prepare before the week   (printing, kit, bookings, briefing the team)</t>
  </si>
  <si>
    <t xml:space="preserve">Print/prepare: cue cards + recording corner, coin sets + shop stock + till, question ballot + plan cards/strips, rope line + scenario cards + pocket-card blanks, Christingle kits (CHECK ALLERGIES; staff-only candle lighting), importance line + reason strips, demo piece + improvement materials.  Brief TAs on W6 ⚠ WMHD framing (light, opt-outs).</t>
  </si>
  <si>
    <t xml:space="preserve">F = formative  ·  S = summative  ·  PfA = Preparing for Adulthood  </t>
  </si>
  <si>
    <t xml:space="preserve">Student Adaptations</t>
  </si>
  <si>
    <t xml:space="preserve">Name</t>
  </si>
  <si>
    <t xml:space="preserve">Year / KS</t>
  </si>
  <si>
    <t xml:space="preserve">Reading age band</t>
  </si>
  <si>
    <t xml:space="preserve">Communication / sensory needs</t>
  </si>
  <si>
    <t xml:space="preserve">Key scaffolds &amp; adaptations</t>
  </si>
  <si>
    <t xml:space="preserve">EHCP primary outcomes</t>
  </si>
  <si>
    <t xml:space="preserve">PfA focus</t>
  </si>
  <si>
    <t xml:space="preserve">Notes</t>
  </si>
  <si>
    <t xml:space="preserve">Pupil A</t>
  </si>
  <si>
    <t xml:space="preserve">KS4</t>
  </si>
  <si>
    <t xml:space="preserve">Pupil B</t>
  </si>
  <si>
    <t xml:space="preserve">Pupil C</t>
  </si>
  <si>
    <t xml:space="preserve">Pupil D</t>
  </si>
  <si>
    <t xml:space="preserve">Outcome Tracker </t>
  </si>
  <si>
    <t xml:space="preserve">Did everyone make progress and meet the outcome? </t>
  </si>
  <si>
    <t xml:space="preserve">GREEN</t>
  </si>
  <si>
    <t xml:space="preserve">All demonstrated progress &amp; achieved the outcome</t>
  </si>
  <si>
    <t xml:space="preserve">AMBER</t>
  </si>
  <si>
    <t xml:space="preserve">Partly met, revisit in class</t>
  </si>
  <si>
    <t xml:space="preserve">RED</t>
  </si>
  <si>
    <t xml:space="preserve">Not met, pick up through intervention</t>
  </si>
  <si>
    <t xml:space="preserve">Week (w/c)</t>
  </si>
  <si>
    <t xml:space="preserve">Outcome reviewed</t>
  </si>
  <si>
    <t xml:space="preserve">Marking / evidence</t>
  </si>
  <si>
    <t xml:space="preserve">RAG</t>
  </si>
  <si>
    <t xml:space="preserve">Students not yet secure</t>
  </si>
  <si>
    <t xml:space="preserve">Picked up via</t>
  </si>
  <si>
    <t xml:space="preserve">Action &amp; timescale</t>
  </si>
  <si>
    <t xml:space="preserve">Students identified a main idea from a community/workplace text and gave one reason.</t>
  </si>
  <si>
    <t xml:space="preserve">I can help plan a fair test and say the one thing we will change.</t>
  </si>
  <si>
    <t xml:space="preserve">PEQ portfolio: photos + scribed voice + witness statements</t>
  </si>
  <si>
    <t xml:space="preserve">PfA — ASDAN LI</t>
  </si>
  <si>
    <t xml:space="preserve">LI portfolio: challenge evidence + skills grid</t>
  </si>
  <si>
    <t xml:space="preserve">PfA — ASDAN FoodWise</t>
  </si>
  <si>
    <t xml:space="preserve">FoodWise portfolio: challenge evidence + photos</t>
  </si>
  <si>
    <t xml:space="preserve">This sheet:</t>
  </si>
  <si>
    <t xml:space="preserve">Green</t>
  </si>
  <si>
    <t xml:space="preserve">Amber</t>
  </si>
  <si>
    <t xml:space="preserve">Red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</si>
</sst>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\-yy"/>
    <numFmt numFmtId="166" formatCode="yyyy\-mm\-dd\ h:mm:ss"/>
    <numFmt numFmtId="167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566159"/>
      <name val="Arial"/>
      <family val="0"/>
      <charset val="1"/>
    </font>
    <font>
      <b val="true"/>
      <sz val="9"/>
      <color rgb="FF566159"/>
      <name val="Arial"/>
      <family val="0"/>
      <charset val="1"/>
    </font>
    <font>
      <b val="true"/>
      <sz val="10"/>
      <color rgb="FF1B2420"/>
      <name val="Arial"/>
      <family val="0"/>
      <charset val="1"/>
    </font>
    <font>
      <b val="true"/>
      <sz val="10"/>
      <color rgb="FF2E7D4F"/>
      <name val="Arial"/>
      <family val="0"/>
      <charset val="1"/>
    </font>
    <font>
      <sz val="9"/>
      <color rgb="FF2E2A5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B2420"/>
      <name val="Arial"/>
      <family val="0"/>
      <charset val="1"/>
    </font>
    <font>
      <sz val="9"/>
      <color rgb="FF000000"/>
      <name val="Arial"/>
      <family val="2"/>
      <charset val="1"/>
    </font>
    <font>
      <sz val="9"/>
      <color rgb="FF1B2420"/>
      <name val="Arial"/>
      <family val="0"/>
      <charset val="1"/>
    </font>
    <font>
      <sz val="9"/>
      <color rgb="FF1B2420"/>
      <name val="Arial"/>
      <family val="2"/>
      <charset val="1"/>
    </font>
    <font>
      <sz val="9"/>
      <color rgb="FF222222"/>
      <name val="Aptos"/>
      <family val="2"/>
      <charset val="1"/>
    </font>
    <font>
      <i val="true"/>
      <sz val="8"/>
      <color rgb="FF5661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sz val="8"/>
      <color rgb="FF56615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DC1"/>
      </bottom>
      <diagonal/>
    </border>
    <border diagonalUp="false" diagonalDown="false"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 diagonalUp="false" diagonalDown="false"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1B2420"/>
      <rgbColor rgb="FF222222"/>
      <rgbColor rgb="FFC0392B"/>
      <rgbColor rgb="FF993366"/>
      <rgbColor rgb="FF333399"/>
      <rgbColor rgb="FF2E2A5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C11" activeCellId="0" sqref="C1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6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26"/>
    <col collapsed="false" customWidth="true" hidden="false" outlineLevel="0" max="10" min="9" style="1" width="2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9.5" hidden="false" customHeight="true" outlineLevel="0" collapsed="false">
      <c r="A4" s="4" t="s">
        <v>2</v>
      </c>
      <c r="B4" s="5" t="s">
        <v>3</v>
      </c>
      <c r="D4" s="1" t="n">
        <v>5</v>
      </c>
      <c r="F4" s="4" t="s">
        <v>4</v>
      </c>
      <c r="G4" s="5" t="n">
        <v>5</v>
      </c>
    </row>
    <row r="5" customFormat="false" ht="19.5" hidden="false" customHeight="true" outlineLevel="0" collapsed="false">
      <c r="A5" s="4" t="s">
        <v>5</v>
      </c>
      <c r="B5" s="5" t="s">
        <v>6</v>
      </c>
      <c r="F5" s="4" t="s">
        <v>7</v>
      </c>
      <c r="G5" s="5"/>
    </row>
    <row r="6" customFormat="false" ht="19.5" hidden="false" customHeight="true" outlineLevel="0" collapsed="false">
      <c r="A6" s="4" t="s">
        <v>8</v>
      </c>
      <c r="B6" s="6" t="str">
        <f aca="false">IF(B5="Autumn","Identity &amp; Belonging",IF(B5="Spring","Resilience &amp; Change",IF(B5="Summer","Our World, My Future","pick a term")))</f>
        <v>Identity &amp; Belonging</v>
      </c>
      <c r="C6" s="6"/>
      <c r="D6" s="6"/>
      <c r="F6" s="4" t="s">
        <v>9</v>
      </c>
      <c r="G6" s="5"/>
    </row>
    <row r="7" customFormat="false" ht="19.5" hidden="false" customHeight="true" outlineLevel="0" collapsed="false">
      <c r="A7" s="4" t="s">
        <v>10</v>
      </c>
      <c r="B7" s="7" t="n">
        <v>46293</v>
      </c>
      <c r="F7" s="4" t="s">
        <v>11</v>
      </c>
      <c r="G7" s="5"/>
    </row>
    <row r="8" customFormat="false" ht="45.75" hidden="false" customHeight="true" outlineLevel="0" collapsed="false">
      <c r="A8" s="8" t="s">
        <v>12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30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9" t="s">
        <v>20</v>
      </c>
      <c r="I9" s="9" t="s">
        <v>21</v>
      </c>
      <c r="J9" s="9" t="s">
        <v>22</v>
      </c>
    </row>
    <row r="10" customFormat="false" ht="45.75" hidden="false" customHeight="true" outlineLevel="0" collapsed="false">
      <c r="A10" s="10" t="s">
        <v>23</v>
      </c>
      <c r="B10" s="11" t="s">
        <v>24</v>
      </c>
      <c r="C10" s="11" t="s">
        <v>25</v>
      </c>
      <c r="D10" s="11" t="s">
        <v>26</v>
      </c>
      <c r="E10" s="11" t="s">
        <v>27</v>
      </c>
      <c r="F10" s="11" t="s">
        <v>28</v>
      </c>
      <c r="G10" s="12" t="s">
        <v>29</v>
      </c>
      <c r="H10" s="11" t="s">
        <v>30</v>
      </c>
      <c r="I10" s="11" t="s">
        <v>31</v>
      </c>
      <c r="J10" s="11" t="s">
        <v>32</v>
      </c>
    </row>
    <row r="11" customFormat="false" ht="330" hidden="false" customHeight="true" outlineLevel="0" collapsed="false">
      <c r="A11" s="13" t="s">
        <v>33</v>
      </c>
      <c r="B11" s="14" t="s">
        <v>34</v>
      </c>
      <c r="C11" s="14" t="s">
        <v>35</v>
      </c>
      <c r="D11" s="15" t="s">
        <v>36</v>
      </c>
      <c r="E11" s="15" t="s">
        <v>37</v>
      </c>
      <c r="F11" s="15" t="s">
        <v>38</v>
      </c>
      <c r="G11" s="14" t="s">
        <v>29</v>
      </c>
      <c r="H11" s="15" t="s">
        <v>39</v>
      </c>
      <c r="I11" s="15" t="s">
        <v>40</v>
      </c>
      <c r="J11" s="14" t="s">
        <v>41</v>
      </c>
    </row>
    <row r="12" customFormat="false" ht="339.75" hidden="false" customHeight="true" outlineLevel="0" collapsed="false">
      <c r="A12" s="10" t="s">
        <v>42</v>
      </c>
      <c r="B12" s="12" t="s">
        <v>43</v>
      </c>
      <c r="C12" s="16" t="s">
        <v>44</v>
      </c>
      <c r="D12" s="17" t="s">
        <v>45</v>
      </c>
      <c r="E12" s="17" t="s">
        <v>46</v>
      </c>
      <c r="F12" s="17" t="s">
        <v>47</v>
      </c>
      <c r="G12" s="12" t="s">
        <v>29</v>
      </c>
      <c r="H12" s="17" t="s">
        <v>48</v>
      </c>
      <c r="I12" s="17" t="s">
        <v>49</v>
      </c>
      <c r="J12" s="12" t="s">
        <v>50</v>
      </c>
    </row>
    <row r="13" customFormat="false" ht="330" hidden="false" customHeight="true" outlineLevel="0" collapsed="false">
      <c r="A13" s="13" t="s">
        <v>51</v>
      </c>
      <c r="B13" s="14" t="s">
        <v>52</v>
      </c>
      <c r="C13" s="14" t="s">
        <v>53</v>
      </c>
      <c r="D13" s="14" t="s">
        <v>54</v>
      </c>
      <c r="E13" s="14" t="s">
        <v>55</v>
      </c>
      <c r="F13" s="14" t="s">
        <v>56</v>
      </c>
      <c r="G13" s="14" t="s">
        <v>29</v>
      </c>
      <c r="H13" s="14" t="s">
        <v>57</v>
      </c>
      <c r="I13" s="14" t="s">
        <v>58</v>
      </c>
      <c r="J13" s="14" t="s">
        <v>59</v>
      </c>
    </row>
    <row r="14" customFormat="false" ht="330" hidden="false" customHeight="true" outlineLevel="0" collapsed="false">
      <c r="A14" s="10" t="s">
        <v>60</v>
      </c>
      <c r="B14" s="12" t="s">
        <v>61</v>
      </c>
      <c r="C14" s="16" t="s">
        <v>62</v>
      </c>
      <c r="D14" s="17" t="s">
        <v>63</v>
      </c>
      <c r="E14" s="17" t="s">
        <v>64</v>
      </c>
      <c r="F14" s="17" t="s">
        <v>65</v>
      </c>
      <c r="G14" s="12" t="s">
        <v>29</v>
      </c>
      <c r="H14" s="17" t="s">
        <v>66</v>
      </c>
      <c r="I14" s="17" t="s">
        <v>67</v>
      </c>
      <c r="J14" s="12" t="s">
        <v>68</v>
      </c>
    </row>
    <row r="15" customFormat="false" ht="330" hidden="false" customHeight="true" outlineLevel="0" collapsed="false">
      <c r="A15" s="13" t="s">
        <v>69</v>
      </c>
      <c r="B15" s="14" t="s">
        <v>70</v>
      </c>
      <c r="C15" s="16" t="s">
        <v>71</v>
      </c>
      <c r="D15" s="17" t="s">
        <v>72</v>
      </c>
      <c r="E15" s="17" t="s">
        <v>73</v>
      </c>
      <c r="F15" s="17" t="s">
        <v>74</v>
      </c>
      <c r="G15" s="12" t="s">
        <v>29</v>
      </c>
      <c r="H15" s="17" t="s">
        <v>75</v>
      </c>
      <c r="I15" s="17" t="s">
        <v>76</v>
      </c>
      <c r="J15" s="12" t="s">
        <v>77</v>
      </c>
    </row>
    <row r="16" customFormat="false" ht="330" hidden="false" customHeight="true" outlineLevel="0" collapsed="false">
      <c r="A16" s="10" t="s">
        <v>78</v>
      </c>
      <c r="B16" s="12" t="s">
        <v>79</v>
      </c>
      <c r="C16" s="16" t="s">
        <v>80</v>
      </c>
      <c r="D16" s="17" t="s">
        <v>81</v>
      </c>
      <c r="E16" s="17" t="s">
        <v>82</v>
      </c>
      <c r="F16" s="17" t="s">
        <v>83</v>
      </c>
      <c r="G16" s="12" t="s">
        <v>29</v>
      </c>
      <c r="H16" s="17" t="s">
        <v>84</v>
      </c>
      <c r="I16" s="17" t="s">
        <v>85</v>
      </c>
      <c r="J16" s="12" t="s">
        <v>86</v>
      </c>
    </row>
    <row r="17" customFormat="false" ht="45.75" hidden="false" customHeight="true" outlineLevel="0" collapsed="false">
      <c r="A17" s="13" t="s">
        <v>87</v>
      </c>
      <c r="B17" s="14"/>
      <c r="C17" s="14"/>
      <c r="D17" s="14"/>
      <c r="E17" s="14"/>
      <c r="F17" s="14"/>
      <c r="G17" s="14"/>
      <c r="H17" s="14"/>
      <c r="I17" s="14"/>
      <c r="J17" s="14"/>
    </row>
    <row r="18" customFormat="false" ht="45.75" hidden="false" customHeight="true" outlineLevel="0" collapsed="false">
      <c r="A18" s="10" t="s">
        <v>88</v>
      </c>
      <c r="B18" s="12" t="s">
        <v>89</v>
      </c>
      <c r="C18" s="12" t="s">
        <v>90</v>
      </c>
      <c r="D18" s="12" t="s">
        <v>91</v>
      </c>
      <c r="E18" s="12" t="s">
        <v>92</v>
      </c>
      <c r="F18" s="12" t="s">
        <v>93</v>
      </c>
      <c r="G18" s="12" t="s">
        <v>29</v>
      </c>
      <c r="H18" s="12" t="s">
        <v>94</v>
      </c>
      <c r="I18" s="12" t="s">
        <v>95</v>
      </c>
      <c r="J18" s="12"/>
    </row>
    <row r="19" customFormat="false" ht="45.75" hidden="false" customHeight="true" outlineLevel="0" collapsed="false">
      <c r="A19" s="10" t="s">
        <v>96</v>
      </c>
      <c r="B19" s="12" t="s">
        <v>97</v>
      </c>
      <c r="C19" s="12" t="s">
        <v>98</v>
      </c>
      <c r="D19" s="12" t="s">
        <v>99</v>
      </c>
      <c r="E19" s="12" t="s">
        <v>100</v>
      </c>
      <c r="F19" s="12" t="s">
        <v>101</v>
      </c>
      <c r="G19" s="12" t="s">
        <v>29</v>
      </c>
      <c r="H19" s="12" t="s">
        <v>102</v>
      </c>
      <c r="I19" s="12" t="s">
        <v>103</v>
      </c>
      <c r="J19" s="12"/>
    </row>
    <row r="20" customFormat="false" ht="45.75" hidden="false" customHeight="true" outlineLevel="0" collapsed="false">
      <c r="A20" s="10" t="s">
        <v>104</v>
      </c>
      <c r="B20" s="12" t="s">
        <v>105</v>
      </c>
      <c r="C20" s="12" t="s">
        <v>106</v>
      </c>
      <c r="D20" s="12" t="s">
        <v>107</v>
      </c>
      <c r="E20" s="12" t="s">
        <v>108</v>
      </c>
      <c r="F20" s="12" t="s">
        <v>109</v>
      </c>
      <c r="G20" s="12" t="s">
        <v>29</v>
      </c>
      <c r="H20" s="12" t="s">
        <v>102</v>
      </c>
      <c r="I20" s="12" t="s">
        <v>110</v>
      </c>
      <c r="J20" s="12"/>
    </row>
    <row r="21" customFormat="false" ht="45.75" hidden="false" customHeight="true" outlineLevel="0" collapsed="false">
      <c r="A21" s="10" t="s">
        <v>111</v>
      </c>
      <c r="B21" s="12" t="s">
        <v>112</v>
      </c>
      <c r="C21" s="12" t="s">
        <v>113</v>
      </c>
      <c r="D21" s="12" t="s">
        <v>114</v>
      </c>
      <c r="E21" s="12" t="s">
        <v>115</v>
      </c>
      <c r="F21" s="12" t="s">
        <v>116</v>
      </c>
      <c r="G21" s="12" t="s">
        <v>29</v>
      </c>
      <c r="H21" s="12" t="s">
        <v>102</v>
      </c>
      <c r="I21" s="12" t="s">
        <v>117</v>
      </c>
      <c r="J21" s="12"/>
    </row>
    <row r="22" customFormat="false" ht="45.75" hidden="false" customHeight="true" outlineLevel="0" collapsed="false">
      <c r="A22" s="10" t="s">
        <v>118</v>
      </c>
      <c r="B22" s="12" t="s">
        <v>119</v>
      </c>
      <c r="C22" s="12" t="s">
        <v>120</v>
      </c>
      <c r="D22" s="12" t="s">
        <v>121</v>
      </c>
      <c r="E22" s="12" t="s">
        <v>122</v>
      </c>
      <c r="F22" s="12" t="s">
        <v>123</v>
      </c>
      <c r="G22" s="12" t="s">
        <v>29</v>
      </c>
      <c r="H22" s="12" t="s">
        <v>102</v>
      </c>
      <c r="I22" s="12" t="s">
        <v>124</v>
      </c>
      <c r="J22" s="12"/>
    </row>
    <row r="23" customFormat="false" ht="45.75" hidden="false" customHeight="true" outlineLevel="0" collapsed="false">
      <c r="A23" s="10" t="s">
        <v>125</v>
      </c>
      <c r="B23" s="12" t="s">
        <v>126</v>
      </c>
      <c r="C23" s="12" t="s">
        <v>127</v>
      </c>
      <c r="D23" s="12" t="s">
        <v>128</v>
      </c>
      <c r="E23" s="12" t="s">
        <v>129</v>
      </c>
      <c r="F23" s="12" t="s">
        <v>130</v>
      </c>
      <c r="G23" s="12" t="s">
        <v>29</v>
      </c>
      <c r="H23" s="12" t="s">
        <v>102</v>
      </c>
      <c r="I23" s="12" t="s">
        <v>131</v>
      </c>
      <c r="J23" s="12"/>
    </row>
    <row r="24" customFormat="false" ht="45.75" hidden="false" customHeight="true" outlineLevel="0" collapsed="false">
      <c r="A24" s="10" t="s">
        <v>132</v>
      </c>
      <c r="B24" s="12" t="s">
        <v>133</v>
      </c>
      <c r="C24" s="12" t="s">
        <v>134</v>
      </c>
      <c r="D24" s="12" t="s">
        <v>135</v>
      </c>
      <c r="E24" s="12" t="s">
        <v>136</v>
      </c>
      <c r="F24" s="12" t="s">
        <v>137</v>
      </c>
      <c r="G24" s="12" t="s">
        <v>29</v>
      </c>
      <c r="H24" s="12" t="s">
        <v>102</v>
      </c>
      <c r="I24" s="12" t="s">
        <v>138</v>
      </c>
      <c r="J24" s="12"/>
    </row>
    <row r="26" customFormat="false" ht="18" hidden="false" customHeight="true" outlineLevel="0" collapsed="false">
      <c r="A26" s="18" t="s">
        <v>139</v>
      </c>
      <c r="B26" s="18"/>
      <c r="C26" s="18"/>
      <c r="D26" s="18"/>
      <c r="E26" s="18"/>
      <c r="F26" s="18"/>
      <c r="G26" s="18"/>
      <c r="H26" s="18"/>
      <c r="I26" s="18"/>
      <c r="J26" s="18"/>
    </row>
    <row r="27" customFormat="false" ht="39.75" hidden="false" customHeight="true" outlineLevel="0" collapsed="false">
      <c r="A27" s="19" t="s">
        <v>140</v>
      </c>
      <c r="B27" s="19"/>
      <c r="C27" s="19"/>
      <c r="D27" s="19"/>
      <c r="E27" s="19"/>
      <c r="F27" s="19"/>
      <c r="G27" s="19"/>
      <c r="H27" s="19"/>
      <c r="I27" s="19"/>
      <c r="J27" s="19"/>
    </row>
    <row r="28" customFormat="false" ht="18" hidden="false" customHeight="true" outlineLevel="0" collapsed="false">
      <c r="A28" s="18" t="s">
        <v>141</v>
      </c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39.75" hidden="false" customHeight="true" outlineLevel="0" collapsed="false">
      <c r="A29" s="20" t="s">
        <v>142</v>
      </c>
      <c r="B29" s="20"/>
      <c r="C29" s="20"/>
      <c r="D29" s="20"/>
      <c r="E29" s="20"/>
      <c r="F29" s="20"/>
      <c r="G29" s="20"/>
      <c r="H29" s="20"/>
      <c r="I29" s="20"/>
      <c r="J29" s="20"/>
    </row>
    <row r="30" customFormat="false" ht="18" hidden="false" customHeight="true" outlineLevel="0" collapsed="false">
      <c r="A30" s="21" t="s">
        <v>143</v>
      </c>
      <c r="B30" s="21"/>
      <c r="C30" s="21"/>
      <c r="D30" s="21"/>
      <c r="E30" s="21"/>
      <c r="F30" s="21"/>
      <c r="G30" s="21"/>
      <c r="H30" s="21"/>
      <c r="I30" s="21"/>
      <c r="J30" s="21"/>
    </row>
  </sheetData>
  <mergeCells count="9">
    <mergeCell ref="A1:J1"/>
    <mergeCell ref="A2:J2"/>
    <mergeCell ref="B6:D6"/>
    <mergeCell ref="A8:J8"/>
    <mergeCell ref="A26:J26"/>
    <mergeCell ref="A27:J27"/>
    <mergeCell ref="A28:J28"/>
    <mergeCell ref="A29:J29"/>
    <mergeCell ref="A30:J30"/>
  </mergeCells>
  <dataValidations count="4">
    <dataValidation allowBlank="true" error="Pick a value from the list." errorStyle="stop" errorTitle="Choose from the list" operator="between" showDropDown="false" showErrorMessage="false" showInputMessage="false" sqref="B4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B5" type="list">
      <formula1>"Autumn,Spring,Summer"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A10:A18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G10:G18" type="list">
      <formula1>"F,S,F + 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26"/>
    <col collapsed="false" customWidth="true" hidden="false" outlineLevel="0" max="7" min="6" style="1" width="36"/>
    <col collapsed="false" customWidth="true" hidden="false" outlineLevel="0" max="8" min="8" style="1" width="22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2" t="s">
        <v>144</v>
      </c>
      <c r="B1" s="22"/>
      <c r="C1" s="22"/>
      <c r="D1" s="22"/>
      <c r="E1" s="22"/>
      <c r="F1" s="22"/>
      <c r="G1" s="22"/>
      <c r="H1" s="22"/>
      <c r="I1" s="22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4" customFormat="false" ht="27.75" hidden="false" customHeight="true" outlineLevel="0" collapsed="false">
      <c r="A4" s="9" t="s">
        <v>145</v>
      </c>
      <c r="B4" s="9" t="s">
        <v>2</v>
      </c>
      <c r="C4" s="9" t="s">
        <v>146</v>
      </c>
      <c r="D4" s="9" t="s">
        <v>147</v>
      </c>
      <c r="E4" s="9" t="s">
        <v>148</v>
      </c>
      <c r="F4" s="9" t="s">
        <v>149</v>
      </c>
      <c r="G4" s="9" t="s">
        <v>150</v>
      </c>
      <c r="H4" s="9" t="s">
        <v>151</v>
      </c>
      <c r="I4" s="9" t="s">
        <v>152</v>
      </c>
    </row>
    <row r="5" customFormat="false" ht="174.75" hidden="false" customHeight="true" outlineLevel="0" collapsed="false">
      <c r="A5" s="10" t="s">
        <v>153</v>
      </c>
      <c r="B5" s="12" t="s">
        <v>3</v>
      </c>
      <c r="C5" s="12" t="s">
        <v>154</v>
      </c>
      <c r="D5" s="23"/>
      <c r="E5" s="23"/>
      <c r="F5" s="23"/>
      <c r="G5" s="23"/>
      <c r="H5" s="23"/>
      <c r="I5" s="23"/>
    </row>
    <row r="6" customFormat="false" ht="174.75" hidden="false" customHeight="true" outlineLevel="0" collapsed="false">
      <c r="A6" s="10" t="s">
        <v>155</v>
      </c>
      <c r="B6" s="12" t="s">
        <v>3</v>
      </c>
      <c r="C6" s="12" t="s">
        <v>154</v>
      </c>
      <c r="D6" s="23"/>
      <c r="E6" s="23"/>
      <c r="F6" s="23"/>
      <c r="G6" s="23"/>
      <c r="H6" s="23"/>
      <c r="I6" s="23"/>
    </row>
    <row r="7" customFormat="false" ht="174.75" hidden="false" customHeight="true" outlineLevel="0" collapsed="false">
      <c r="A7" s="10" t="s">
        <v>156</v>
      </c>
      <c r="B7" s="12" t="s">
        <v>3</v>
      </c>
      <c r="C7" s="12" t="s">
        <v>154</v>
      </c>
      <c r="D7" s="23"/>
      <c r="E7" s="23"/>
      <c r="F7" s="23"/>
      <c r="G7" s="23"/>
      <c r="H7" s="23"/>
      <c r="I7" s="23"/>
    </row>
    <row r="8" customFormat="false" ht="174.75" hidden="false" customHeight="true" outlineLevel="0" collapsed="false">
      <c r="A8" s="10" t="s">
        <v>157</v>
      </c>
      <c r="B8" s="12" t="s">
        <v>3</v>
      </c>
      <c r="C8" s="12" t="s">
        <v>154</v>
      </c>
      <c r="D8" s="23"/>
      <c r="E8" s="23"/>
      <c r="F8" s="23"/>
      <c r="G8" s="23"/>
      <c r="H8" s="23"/>
      <c r="I8" s="23"/>
    </row>
    <row r="9" customFormat="false" ht="30" hidden="false" customHeight="true" outlineLevel="0" collapsed="false">
      <c r="A9" s="24"/>
      <c r="B9" s="24"/>
      <c r="C9" s="24"/>
      <c r="D9" s="24"/>
      <c r="E9" s="24"/>
      <c r="F9" s="24"/>
      <c r="G9" s="24"/>
      <c r="H9" s="24"/>
      <c r="I9" s="24"/>
    </row>
    <row r="10" customFormat="false" ht="30" hidden="false" customHeight="true" outlineLevel="0" collapsed="false">
      <c r="A10" s="25"/>
      <c r="B10" s="25"/>
      <c r="C10" s="25"/>
      <c r="D10" s="25"/>
      <c r="E10" s="25"/>
      <c r="F10" s="25"/>
      <c r="G10" s="25"/>
      <c r="H10" s="25"/>
      <c r="I10" s="25"/>
    </row>
    <row r="11" customFormat="false" ht="30" hidden="false" customHeight="true" outlineLevel="0" collapsed="false">
      <c r="A11" s="24"/>
      <c r="B11" s="24"/>
      <c r="C11" s="24"/>
      <c r="D11" s="24"/>
      <c r="E11" s="24"/>
      <c r="F11" s="24"/>
      <c r="G11" s="24"/>
      <c r="H11" s="24"/>
      <c r="I11" s="24"/>
    </row>
    <row r="12" customFormat="false" ht="30" hidden="false" customHeight="true" outlineLevel="0" collapsed="false">
      <c r="A12" s="25"/>
      <c r="B12" s="25"/>
      <c r="C12" s="25"/>
      <c r="D12" s="25"/>
      <c r="E12" s="25"/>
      <c r="F12" s="25"/>
      <c r="G12" s="25"/>
      <c r="H12" s="25"/>
      <c r="I12" s="25"/>
    </row>
    <row r="13" customFormat="false" ht="30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</row>
    <row r="14" customFormat="false" ht="30" hidden="false" customHeight="true" outlineLevel="0" collapsed="false">
      <c r="A14" s="25"/>
      <c r="B14" s="25"/>
      <c r="C14" s="25"/>
      <c r="D14" s="25"/>
      <c r="E14" s="25"/>
      <c r="F14" s="25"/>
      <c r="G14" s="25"/>
      <c r="H14" s="25"/>
      <c r="I14" s="25"/>
    </row>
    <row r="15" customFormat="false" ht="30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</row>
    <row r="16" customFormat="false" ht="30" hidden="false" customHeight="true" outlineLevel="0" collapsed="false">
      <c r="A16" s="25"/>
      <c r="B16" s="25"/>
      <c r="C16" s="25"/>
      <c r="D16" s="25"/>
      <c r="E16" s="25"/>
      <c r="F16" s="25"/>
      <c r="G16" s="25"/>
      <c r="H16" s="25"/>
      <c r="I16" s="25"/>
    </row>
    <row r="17" customFormat="false" ht="30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</row>
    <row r="18" customFormat="false" ht="30" hidden="false" customHeight="true" outlineLevel="0" collapsed="false">
      <c r="A18" s="25"/>
      <c r="B18" s="25"/>
      <c r="C18" s="25"/>
      <c r="D18" s="25"/>
      <c r="E18" s="25"/>
      <c r="F18" s="25"/>
      <c r="G18" s="25"/>
      <c r="H18" s="25"/>
      <c r="I18" s="25"/>
    </row>
    <row r="19" customFormat="false" ht="30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</row>
  </sheetData>
  <mergeCells count="2">
    <mergeCell ref="A1:I1"/>
    <mergeCell ref="A2:I2"/>
  </mergeCells>
  <conditionalFormatting sqref="B5:B19">
    <cfRule type="cellIs" priority="2" operator="equal" aboveAverage="0" equalAverage="0" bottom="0" percent="0" rank="0" text="" dxfId="0">
      <formula>"BUILD"</formula>
    </cfRule>
    <cfRule type="cellIs" priority="3" operator="equal" aboveAverage="0" equalAverage="0" bottom="0" percent="0" rank="0" text="" dxfId="1">
      <formula>"GROW"</formula>
    </cfRule>
    <cfRule type="cellIs" priority="4" operator="equal" aboveAverage="0" equalAverage="0" bottom="0" percent="0" rank="0" text="" dxfId="2">
      <formula>"LAUNCH"</formula>
    </cfRule>
  </conditionalFormatting>
  <dataValidations count="1">
    <dataValidation allowBlank="true" error="Pick a value from the list." errorStyle="stop" errorTitle="Choose from the list" operator="between" showDropDown="false" showErrorMessage="false" showInputMessage="false" sqref="B5:B19" type="list">
      <formula1>"BUILD,GROW,LAUNCH"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D7" activeCellId="0" sqref="D7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4"/>
    <col collapsed="false" customWidth="true" hidden="false" outlineLevel="0" max="8" min="8" style="1" width="18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6" t="s">
        <v>158</v>
      </c>
      <c r="B1" s="26"/>
      <c r="C1" s="26"/>
      <c r="D1" s="26"/>
      <c r="E1" s="26"/>
      <c r="F1" s="26"/>
      <c r="G1" s="26"/>
      <c r="H1" s="26"/>
      <c r="I1" s="26"/>
    </row>
    <row r="2" customFormat="false" ht="14.25" hidden="false" customHeight="true" outlineLevel="0" collapsed="false">
      <c r="A2" s="27" t="s">
        <v>159</v>
      </c>
      <c r="B2" s="27"/>
      <c r="C2" s="27"/>
      <c r="D2" s="27"/>
      <c r="E2" s="27"/>
      <c r="F2" s="27"/>
      <c r="G2" s="27"/>
      <c r="H2" s="27"/>
      <c r="I2" s="27"/>
    </row>
    <row r="3" customFormat="false" ht="18" hidden="false" customHeight="true" outlineLevel="0" collapsed="false">
      <c r="A3" s="28" t="s">
        <v>160</v>
      </c>
      <c r="B3" s="29" t="s">
        <v>161</v>
      </c>
      <c r="C3" s="29"/>
      <c r="D3" s="30" t="s">
        <v>162</v>
      </c>
      <c r="E3" s="29" t="s">
        <v>163</v>
      </c>
      <c r="F3" s="29"/>
      <c r="G3" s="31" t="s">
        <v>164</v>
      </c>
      <c r="H3" s="29" t="s">
        <v>165</v>
      </c>
      <c r="I3" s="29"/>
    </row>
    <row r="5" customFormat="false" ht="27.75" hidden="false" customHeight="true" outlineLevel="0" collapsed="false">
      <c r="A5" s="9" t="s">
        <v>166</v>
      </c>
      <c r="B5" s="9" t="s">
        <v>2</v>
      </c>
      <c r="C5" s="9" t="s">
        <v>13</v>
      </c>
      <c r="D5" s="9" t="s">
        <v>167</v>
      </c>
      <c r="E5" s="9" t="s">
        <v>168</v>
      </c>
      <c r="F5" s="9" t="s">
        <v>169</v>
      </c>
      <c r="G5" s="9" t="s">
        <v>170</v>
      </c>
      <c r="H5" s="9" t="s">
        <v>171</v>
      </c>
      <c r="I5" s="9" t="s">
        <v>172</v>
      </c>
    </row>
    <row r="6" customFormat="false" ht="30" hidden="false" customHeight="true" outlineLevel="0" collapsed="false">
      <c r="A6" s="32" t="n">
        <v>46293</v>
      </c>
      <c r="B6" s="33" t="s">
        <v>3</v>
      </c>
      <c r="C6" s="33" t="s">
        <v>23</v>
      </c>
      <c r="D6" s="11" t="s">
        <v>173</v>
      </c>
      <c r="E6" s="25"/>
      <c r="F6" s="25"/>
      <c r="G6" s="25"/>
      <c r="H6" s="25"/>
      <c r="I6" s="25"/>
    </row>
    <row r="7" customFormat="false" ht="30" hidden="false" customHeight="true" outlineLevel="0" collapsed="false">
      <c r="A7" s="32" t="n">
        <v>46293</v>
      </c>
      <c r="B7" s="12" t="s">
        <v>3</v>
      </c>
      <c r="C7" s="33" t="s">
        <v>33</v>
      </c>
      <c r="D7" s="14" t="s">
        <v>35</v>
      </c>
      <c r="E7" s="25"/>
      <c r="F7" s="25"/>
      <c r="G7" s="25"/>
      <c r="H7" s="25"/>
      <c r="I7" s="25"/>
    </row>
    <row r="8" customFormat="false" ht="30" hidden="false" customHeight="true" outlineLevel="0" collapsed="false">
      <c r="A8" s="32" t="n">
        <v>46293</v>
      </c>
      <c r="B8" s="12" t="s">
        <v>3</v>
      </c>
      <c r="C8" s="12" t="s">
        <v>42</v>
      </c>
      <c r="D8" s="12" t="s">
        <v>174</v>
      </c>
      <c r="E8" s="12"/>
      <c r="F8" s="12"/>
      <c r="G8" s="12"/>
      <c r="H8" s="12"/>
      <c r="I8" s="12"/>
    </row>
    <row r="9" customFormat="false" ht="30" hidden="false" customHeight="true" outlineLevel="0" collapsed="false">
      <c r="A9" s="32" t="n">
        <v>46293</v>
      </c>
      <c r="B9" s="12" t="s">
        <v>3</v>
      </c>
      <c r="C9" s="12" t="s">
        <v>51</v>
      </c>
      <c r="D9" s="12" t="s">
        <v>53</v>
      </c>
      <c r="E9" s="12"/>
      <c r="F9" s="12"/>
      <c r="G9" s="12"/>
      <c r="H9" s="12"/>
      <c r="I9" s="12"/>
    </row>
    <row r="10" customFormat="false" ht="30" hidden="false" customHeight="true" outlineLevel="0" collapsed="false">
      <c r="A10" s="32" t="n">
        <v>46293</v>
      </c>
      <c r="B10" s="12" t="s">
        <v>3</v>
      </c>
      <c r="C10" s="12" t="s">
        <v>69</v>
      </c>
      <c r="D10" s="12" t="s">
        <v>71</v>
      </c>
      <c r="E10" s="12"/>
      <c r="F10" s="12"/>
      <c r="G10" s="12"/>
      <c r="H10" s="12"/>
      <c r="I10" s="12"/>
    </row>
    <row r="11" customFormat="false" ht="30" hidden="false" customHeight="true" outlineLevel="0" collapsed="false">
      <c r="A11" s="32" t="n">
        <v>46293</v>
      </c>
      <c r="B11" s="12" t="s">
        <v>3</v>
      </c>
      <c r="C11" s="12" t="s">
        <v>78</v>
      </c>
      <c r="D11" s="12" t="s">
        <v>80</v>
      </c>
      <c r="E11" s="12"/>
      <c r="F11" s="12"/>
      <c r="G11" s="12"/>
      <c r="H11" s="12"/>
      <c r="I11" s="12"/>
    </row>
    <row r="12" customFormat="false" ht="30" hidden="false" customHeight="true" outlineLevel="0" collapsed="false">
      <c r="A12" s="32" t="n">
        <v>46293</v>
      </c>
      <c r="B12" s="12" t="s">
        <v>3</v>
      </c>
      <c r="C12" s="34" t="s">
        <v>60</v>
      </c>
      <c r="D12" s="16" t="s">
        <v>62</v>
      </c>
      <c r="E12" s="24"/>
      <c r="F12" s="24"/>
      <c r="G12" s="24"/>
      <c r="H12" s="24"/>
      <c r="I12" s="24"/>
    </row>
    <row r="13" customFormat="false" ht="30" hidden="false" customHeight="true" outlineLevel="0" collapsed="false">
      <c r="A13" s="35" t="n">
        <v>46293</v>
      </c>
      <c r="B13" s="34" t="s">
        <v>3</v>
      </c>
      <c r="C13" s="34" t="s">
        <v>88</v>
      </c>
      <c r="D13" s="24" t="s">
        <v>90</v>
      </c>
      <c r="E13" s="24" t="s">
        <v>175</v>
      </c>
      <c r="F13" s="24"/>
      <c r="G13" s="24"/>
      <c r="H13" s="24"/>
      <c r="I13" s="24"/>
    </row>
    <row r="14" customFormat="false" ht="30" hidden="false" customHeight="true" outlineLevel="0" collapsed="false">
      <c r="A14" s="36" t="n">
        <v>46293</v>
      </c>
      <c r="B14" s="33" t="s">
        <v>3</v>
      </c>
      <c r="C14" s="33" t="s">
        <v>176</v>
      </c>
      <c r="D14" s="25" t="s">
        <v>113</v>
      </c>
      <c r="E14" s="25" t="s">
        <v>177</v>
      </c>
      <c r="F14" s="25"/>
      <c r="G14" s="25"/>
      <c r="H14" s="25"/>
      <c r="I14" s="25"/>
    </row>
    <row r="15" customFormat="false" ht="25.5" hidden="false" customHeight="true" outlineLevel="0" collapsed="false">
      <c r="A15" s="35" t="n">
        <v>46293</v>
      </c>
      <c r="B15" s="34" t="s">
        <v>3</v>
      </c>
      <c r="C15" s="34" t="s">
        <v>178</v>
      </c>
      <c r="D15" s="24" t="s">
        <v>120</v>
      </c>
      <c r="E15" s="24" t="s">
        <v>179</v>
      </c>
      <c r="F15" s="24"/>
      <c r="G15" s="24"/>
      <c r="H15" s="24"/>
      <c r="I15" s="24"/>
    </row>
    <row r="16" customFormat="false" ht="25.5" hidden="false" customHeight="true" outlineLevel="0" collapsed="false">
      <c r="A16" s="25"/>
      <c r="B16" s="33"/>
      <c r="C16" s="33"/>
      <c r="D16" s="25"/>
      <c r="E16" s="25"/>
      <c r="F16" s="25"/>
      <c r="G16" s="25"/>
      <c r="H16" s="25"/>
      <c r="I16" s="25"/>
    </row>
    <row r="17" customFormat="false" ht="25.5" hidden="false" customHeight="true" outlineLevel="0" collapsed="false">
      <c r="A17" s="24"/>
      <c r="B17" s="34"/>
      <c r="C17" s="34"/>
      <c r="D17" s="24"/>
      <c r="E17" s="24"/>
      <c r="F17" s="24"/>
      <c r="G17" s="24"/>
      <c r="H17" s="24"/>
      <c r="I17" s="24"/>
    </row>
    <row r="18" customFormat="false" ht="25.5" hidden="false" customHeight="true" outlineLevel="0" collapsed="false">
      <c r="A18" s="25"/>
      <c r="B18" s="33"/>
      <c r="C18" s="33"/>
      <c r="D18" s="25"/>
      <c r="E18" s="25"/>
      <c r="F18" s="25"/>
      <c r="G18" s="25"/>
      <c r="H18" s="25"/>
      <c r="I18" s="25"/>
    </row>
    <row r="19" customFormat="false" ht="25.5" hidden="false" customHeight="true" outlineLevel="0" collapsed="false">
      <c r="A19" s="24"/>
      <c r="B19" s="34"/>
      <c r="C19" s="34"/>
      <c r="D19" s="24"/>
      <c r="E19" s="24"/>
      <c r="F19" s="24"/>
      <c r="G19" s="24"/>
      <c r="H19" s="24"/>
      <c r="I19" s="24"/>
    </row>
    <row r="20" customFormat="false" ht="25.5" hidden="false" customHeight="true" outlineLevel="0" collapsed="false">
      <c r="A20" s="25"/>
      <c r="B20" s="33"/>
      <c r="C20" s="33"/>
      <c r="D20" s="25"/>
      <c r="E20" s="25"/>
      <c r="F20" s="25"/>
      <c r="G20" s="25"/>
      <c r="H20" s="25"/>
      <c r="I20" s="25"/>
    </row>
    <row r="21" customFormat="false" ht="25.5" hidden="false" customHeight="true" outlineLevel="0" collapsed="false">
      <c r="A21" s="24"/>
      <c r="B21" s="34"/>
      <c r="C21" s="34"/>
      <c r="D21" s="24"/>
      <c r="E21" s="24"/>
      <c r="F21" s="24"/>
      <c r="G21" s="24"/>
      <c r="H21" s="24"/>
      <c r="I21" s="24"/>
    </row>
    <row r="22" customFormat="false" ht="25.5" hidden="false" customHeight="true" outlineLevel="0" collapsed="false"/>
    <row r="23" customFormat="false" ht="25.5" hidden="false" customHeight="true" outlineLevel="0" collapsed="false">
      <c r="C23" s="37" t="s">
        <v>180</v>
      </c>
      <c r="D23" s="38" t="n">
        <f aca="false">COUNTIF($F$8:$F$18,"Green")</f>
        <v>0</v>
      </c>
      <c r="E23" s="39" t="n">
        <f aca="false">COUNTIF($F$8:$F$18,"Amber")</f>
        <v>0</v>
      </c>
      <c r="F23" s="40" t="n">
        <f aca="false">COUNTIF($F$8:$F$18,"Red")</f>
        <v>0</v>
      </c>
    </row>
    <row r="24" customFormat="false" ht="25.5" hidden="false" customHeight="true" outlineLevel="0" collapsed="false">
      <c r="D24" s="41" t="s">
        <v>181</v>
      </c>
      <c r="E24" s="41" t="s">
        <v>182</v>
      </c>
      <c r="F24" s="41" t="s">
        <v>183</v>
      </c>
    </row>
    <row r="25" customFormat="false" ht="25.5" hidden="false" customHeight="true" outlineLevel="0" collapsed="false"/>
    <row r="26" customFormat="false" ht="25.5" hidden="false" customHeight="true" outlineLevel="0" collapsed="false"/>
  </sheetData>
  <mergeCells count="5">
    <mergeCell ref="A1:I1"/>
    <mergeCell ref="A2:I2"/>
    <mergeCell ref="B3:C3"/>
    <mergeCell ref="E3:F3"/>
    <mergeCell ref="H3:I3"/>
  </mergeCells>
  <conditionalFormatting sqref="F6:F26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3">
      <formula>"Amber"</formula>
    </cfRule>
    <cfRule type="cellIs" priority="4" operator="equal" aboveAverage="0" equalAverage="0" bottom="0" percent="0" rank="0" text="" dxfId="4">
      <formula>"Red"</formula>
    </cfRule>
  </conditionalFormatting>
  <dataValidations count="4">
    <dataValidation allowBlank="true" error="Pick a value from the list." errorStyle="stop" errorTitle="Choose from the list" operator="between" showDropDown="false" showErrorMessage="false" showInputMessage="false" sqref="B6:B26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C6:C26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F6:F26" type="list">
      <formula1>"Green,Amber,Red"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H6:H26" type="list">
      <formula1>"Achieved (move on),Revisit in class,Intervention"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2026-06-22T07:46:21Z</dcterms:created>
  <dc:creator>openpyxl</dc:creator>
  <dc:description/>
  <dc:language>en-US</dc:language>
  <cp:lastModifiedBy>Helen Stewart</cp:lastModifiedBy>
  <dcterms:modified xsi:type="dcterms:W3CDTF">2026-07-15T11:04:51Z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0x0101002C6E38C4B2056147BFEE88C7F682B392</vt:lpwstr>
  </property>
  <property fmtid="{D5CDD505-2E9C-101B-9397-08002B2CF9AE}" pid="3" name="MediaServiceImageTags">
    <vt:lpwstr/>
  </property>
</Properties>
</file>