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Weekly Plan" sheetId="1" state="visible" r:id="rId1"/>
    <sheet name="Students" sheetId="2" state="visible" r:id="rId2"/>
    <sheet name="Outcomes RA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yyyy\-mm\-dd\ h:mm:ss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color rgb="FF566159"/>
      <sz val="10"/>
    </font>
    <font>
      <name val="Arial"/>
      <charset val="1"/>
      <family val="0"/>
      <b val="1"/>
      <color rgb="FF566159"/>
      <sz val="9"/>
    </font>
    <font>
      <name val="Arial"/>
      <charset val="1"/>
      <family val="0"/>
      <b val="1"/>
      <color rgb="FF1B2420"/>
      <sz val="10"/>
    </font>
    <font>
      <name val="Arial"/>
      <charset val="1"/>
      <family val="0"/>
      <b val="1"/>
      <color rgb="FF2E7D4F"/>
      <sz val="10"/>
    </font>
    <font>
      <name val="Arial"/>
      <charset val="1"/>
      <family val="0"/>
      <color rgb="FF2E2A5D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B2420"/>
      <sz val="9"/>
    </font>
    <font>
      <name val="Arial"/>
      <charset val="1"/>
      <family val="2"/>
      <color rgb="FF000000"/>
      <sz val="9"/>
    </font>
    <font>
      <name val="Arial"/>
      <charset val="1"/>
      <family val="0"/>
      <color rgb="FF1B2420"/>
      <sz val="9"/>
    </font>
    <font>
      <name val="Arial"/>
      <charset val="1"/>
      <family val="2"/>
      <color rgb="FF1B2420"/>
      <sz val="9"/>
    </font>
    <font>
      <name val="Aptos"/>
      <charset val="1"/>
      <family val="2"/>
      <color rgb="FF222222"/>
      <sz val="9"/>
    </font>
    <font>
      <name val="Arial"/>
      <charset val="1"/>
      <family val="0"/>
      <i val="1"/>
      <color rgb="FF566159"/>
      <sz val="8"/>
    </font>
    <font>
      <name val="Arial"/>
      <charset val="1"/>
      <family val="0"/>
      <b val="1"/>
      <color rgb="FFFFFFFF"/>
      <sz val="16"/>
    </font>
    <font>
      <name val="Arial"/>
      <charset val="1"/>
      <family val="2"/>
      <b val="1"/>
      <color rgb="FFFFFFFF"/>
      <sz val="16"/>
    </font>
    <font>
      <name val="Arial"/>
      <charset val="1"/>
      <family val="2"/>
      <sz val="10"/>
    </font>
    <font>
      <name val="Arial"/>
      <charset val="1"/>
      <family val="2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66159"/>
      <sz val="8"/>
    </font>
  </fonts>
  <fills count="10">
    <fill>
      <patternFill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3CDC1"/>
      </bottom>
      <diagonal/>
    </border>
    <border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C9C9D6"/>
      </top>
      <bottom/>
      <diagonal/>
    </border>
    <border>
      <left/>
      <right style="thin">
        <color rgb="FFC9C9D6"/>
      </right>
      <top style="thin">
        <color rgb="FFC9C9D6"/>
      </top>
      <bottom/>
      <diagonal/>
    </border>
    <border>
      <left/>
      <right/>
      <top style="thin">
        <color rgb="FFC9C9D6"/>
      </top>
      <bottom style="thin">
        <color rgb="FFC9C9D6"/>
      </bottom>
      <diagonal/>
    </border>
    <border>
      <left/>
      <right style="thin">
        <color rgb="FFC9C9D6"/>
      </right>
      <top style="thin">
        <color rgb="FFC9C9D6"/>
      </top>
      <bottom style="thin">
        <color rgb="FFC9C9D6"/>
      </bottom>
      <diagonal/>
    </border>
    <border>
      <left/>
      <right/>
      <top style="thin">
        <color rgb="FFC3CDC1"/>
      </top>
      <bottom/>
      <diagonal/>
    </border>
    <border>
      <left/>
      <right style="thin">
        <color rgb="FFC3CDC1"/>
      </right>
      <top style="thin">
        <color rgb="FFC3CDC1"/>
      </top>
      <bottom/>
      <diagonal/>
    </border>
    <border>
      <left/>
      <right/>
      <top style="thin">
        <color rgb="FFC3CDC1"/>
      </top>
      <bottom style="thin">
        <color rgb="FFC3CDC1"/>
      </bottom>
      <diagonal/>
    </border>
    <border>
      <left/>
      <right style="thin">
        <color rgb="FFC3CDC1"/>
      </right>
      <top style="thin">
        <color rgb="FFC3CDC1"/>
      </top>
      <bottom style="thin">
        <color rgb="FFC3CDC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4" fillId="5" borderId="3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8" pivotButton="0" quotePrefix="0" xfId="0"/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4" fillId="5" borderId="3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2" pivotButton="0" quotePrefix="0" xfId="0"/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J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C11" activeCellId="0" sqref="C11"/>
    </sheetView>
  </sheetViews>
  <sheetFormatPr baseColWidth="8" defaultColWidth="8.5625" defaultRowHeight="14.25" zeroHeight="0" outlineLevelRow="0"/>
  <cols>
    <col width="18" customWidth="1" style="42" min="1" max="1"/>
    <col width="20" customWidth="1" style="42" min="2" max="2"/>
    <col width="26" customWidth="1" style="42" min="3" max="4"/>
    <col width="16" customWidth="1" style="42" min="5" max="5"/>
    <col width="20" customWidth="1" style="42" min="6" max="6"/>
    <col width="10" customWidth="1" style="42" min="7" max="7"/>
    <col width="26" customWidth="1" style="42" min="8" max="8"/>
    <col width="22" customWidth="1" style="42" min="9" max="10"/>
  </cols>
  <sheetData>
    <row r="1" ht="30" customHeight="1" s="43">
      <c r="A1" s="44" t="inlineStr">
        <is>
          <t>Weekly Planner - To be submitted to Head of School prior to the start of each Half-Term</t>
        </is>
      </c>
    </row>
    <row r="2" ht="14.25" customHeight="1" s="43">
      <c r="A2" s="45" t="inlineStr">
        <is>
          <t>Progress Schools  ·  linked to the 2026/27 Schemes of Work</t>
        </is>
      </c>
    </row>
    <row r="3"/>
    <row r="4" ht="19.5" customHeight="1" s="43">
      <c r="A4" s="46" t="inlineStr">
        <is>
          <t>Pathway</t>
        </is>
      </c>
      <c r="B4" s="47" t="inlineStr">
        <is>
          <t>BUILD</t>
        </is>
      </c>
      <c r="D4" s="42" t="n">
        <v>5</v>
      </c>
      <c r="F4" s="46" t="inlineStr">
        <is>
          <t>Week no.</t>
        </is>
      </c>
      <c r="G4" s="47" t="n">
        <v>5</v>
      </c>
    </row>
    <row r="5" ht="19.5" customHeight="1" s="43">
      <c r="A5" s="46" t="inlineStr">
        <is>
          <t>Term</t>
        </is>
      </c>
      <c r="B5" s="47" t="inlineStr">
        <is>
          <t>Autumn</t>
        </is>
      </c>
      <c r="F5" s="46" t="inlineStr">
        <is>
          <t>Group / class</t>
        </is>
      </c>
      <c r="G5" s="47" t="n"/>
    </row>
    <row r="6" ht="19.5" customHeight="1" s="43">
      <c r="A6" s="46" t="inlineStr">
        <is>
          <t>Theme</t>
        </is>
      </c>
      <c r="B6" s="48">
        <f>IF(B5="Autumn","Identity &amp; Belonging",IF(B5="Spring","Resilience &amp; Change",IF(B5="Summer","Our World, My Future","pick a term")))</f>
        <v/>
      </c>
      <c r="C6" s="49" t="n"/>
      <c r="D6" s="49" t="n"/>
      <c r="F6" s="46" t="inlineStr">
        <is>
          <t>Teacher</t>
        </is>
      </c>
      <c r="G6" s="47" t="n"/>
    </row>
    <row r="7" ht="19.5" customHeight="1" s="43">
      <c r="A7" s="46" t="inlineStr">
        <is>
          <t>Week commencing</t>
        </is>
      </c>
      <c r="B7" s="50" t="n">
        <v>46293</v>
      </c>
      <c r="F7" s="46" t="inlineStr">
        <is>
          <t>Reviewed by</t>
        </is>
      </c>
      <c r="G7" s="47" t="n"/>
    </row>
    <row r="8" ht="45.75" customHeight="1" s="43">
      <c r="A8" s="51" t="inlineStr">
        <is>
          <t>SMSC/BV this week: Black History Month launches (Thu 1 Oct, runs to W8) — Build Humanities' BHM profile wall carries it; English picks up a BHM poem next week.  National Poetry Day Thu 1 Oct (tbc).  EVIDENCE: 'People Who Shaped Britain' wall + evidence platform: cultural → SMSC Evidence Tracker.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3" t="n"/>
    </row>
    <row r="9" ht="30" customHeight="1" s="43">
      <c r="A9" s="54" t="inlineStr">
        <is>
          <t>Subject</t>
        </is>
      </c>
      <c r="B9" s="54" t="inlineStr">
        <is>
          <t>SoW unit (this term)</t>
        </is>
      </c>
      <c r="C9" s="54" t="inlineStr">
        <is>
          <t>This week's outcome</t>
        </is>
      </c>
      <c r="D9" s="54" t="inlineStr">
        <is>
          <t>Activities</t>
        </is>
      </c>
      <c r="E9" s="54" t="inlineStr">
        <is>
          <t>Key vocabulary</t>
        </is>
      </c>
      <c r="F9" s="54" t="inlineStr">
        <is>
          <t>Resources required</t>
        </is>
      </c>
      <c r="G9" s="54" t="inlineStr">
        <is>
          <t>Assess. (F/S)</t>
        </is>
      </c>
      <c r="H9" s="54" t="inlineStr">
        <is>
          <t>Student adaptations</t>
        </is>
      </c>
      <c r="I9" s="54" t="inlineStr">
        <is>
          <t>Classroom support</t>
        </is>
      </c>
      <c r="J9" s="54" t="inlineStr">
        <is>
          <t>Evaluation (after teaching)</t>
        </is>
      </c>
    </row>
    <row r="10" ht="45.75" customHeight="1" s="43">
      <c r="A10" s="55" t="inlineStr">
        <is>
          <t>English</t>
        </is>
      </c>
      <c r="B10" s="56" t="inlineStr">
        <is>
          <t>Identity &amp; Belonging: belonging at school and work</t>
        </is>
      </c>
      <c r="C10" s="56" t="inlineStr">
        <is>
          <t>I can read a simple article about belonging and explain one main idea.</t>
        </is>
      </c>
      <c r="D10" s="56" t="inlineStr">
        <is>
          <t>Arrival: key word match → read a short article about belonging at school/work → underline one main idea → answer 'What is this mostly about?' → write/say one reason.</t>
        </is>
      </c>
      <c r="E10" s="56" t="inlineStr">
        <is>
          <t>belonging, community, inclusion, main idea, reason, respect</t>
        </is>
      </c>
      <c r="F10" s="56" t="inlineStr">
        <is>
          <t>Short article; main idea cards; highlighters; sentence stems.</t>
        </is>
      </c>
      <c r="G10" s="57" t="inlineStr">
        <is>
          <t>F</t>
        </is>
      </c>
      <c r="H10" s="56" t="inlineStr">
        <is>
          <t>Chunked article; vocabulary pre-teach; main idea choices; verbal response allowed.</t>
        </is>
      </c>
      <c r="I10" s="56" t="inlineStr">
        <is>
          <t>TA supports reading and prompts students to choose evidence. Teacher notes inference readiness.</t>
        </is>
      </c>
      <c r="J10" s="56" t="inlineStr">
        <is>
          <t>Record who can identify main idea with/without choices.</t>
        </is>
      </c>
    </row>
    <row r="11" ht="330" customHeight="1" s="43">
      <c r="A11" s="58" t="inlineStr">
        <is>
          <t>Maths</t>
        </is>
      </c>
      <c r="B11" s="59" t="inlineStr">
        <is>
          <t>Number, calculation &amp; fractions (Y5/6)</t>
        </is>
      </c>
      <c r="C11" s="59" t="inlineStr">
        <is>
          <t>I can multiply and divide numbers by 10, 100 and 1000 and identify multiples and factors of numbers.</t>
        </is>
      </c>
      <c r="D11" s="60" t="inlineStr">
        <is>
          <t>Place value movement investigations.
Multiplying and dividing whole numbers and decimals.
Factor and multiple sorting cards.
Times-table fluency games.
Problem-solving challenges.</t>
        </is>
      </c>
      <c r="E11" s="60" t="inlineStr">
        <is>
          <t>Multiply
Divide
Factor
Multiple
Product
Quotient
Place value</t>
        </is>
      </c>
      <c r="F11" s="60" t="inlineStr">
        <is>
          <t>Place value charts
Multiplication grids
Factor cards
Calculators
Interactive activities</t>
        </is>
      </c>
      <c r="G11" s="59" t="inlineStr">
        <is>
          <t>F</t>
        </is>
      </c>
      <c r="H11" s="60" t="inlineStr">
        <is>
          <t>Concrete place value movement models.
Times table support sheets.
Smaller number examples.
Stretch through factor investigations.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1" s="60" t="inlineStr">
        <is>
          <t>Visual demonstrations.
Guided practice.
Targeted intervention.</t>
        </is>
      </c>
      <c r="J11" s="59" t="inlineStr">
        <is>
          <t>Multiplication and division quiz.
Factor/multiple challenge.
Observation of fluency.
Exit questions.</t>
        </is>
      </c>
    </row>
    <row r="12" ht="339.75" customHeight="1" s="43">
      <c r="A12" s="55" t="inlineStr">
        <is>
          <t>Science</t>
        </is>
      </c>
      <c r="B12" s="57" t="inlineStr">
        <is>
          <t>White Rose Science Year 3 - Aut1·W5</t>
        </is>
      </c>
      <c r="C12" s="61" t="inlineStr">
        <is>
          <t>I can name what a body needs from food and why.</t>
        </is>
      </c>
      <c r="D12" s="62" t="inlineStr">
        <is>
          <t>v5 whiteboard deck 'What a Body Needs': Three jobs of food; Match animal to food; Say why variety wins. Runs across BOTH weekly 40-min periods: Period 1 → up to We Do 2; Period 2 = extended Independent Work → Lundy → Exit, where the practical and the Assessor Witness evidence are made. One print pack covers both periods.</t>
        </is>
      </c>
      <c r="E12" s="62" t="inlineStr">
        <is>
          <t>nutrition, energy, growth, variety</t>
        </is>
      </c>
      <c r="F12" s="62" t="inlineStr">
        <is>
          <t>Science_Teesside/Build/SCI_B_W5_Right_Nutrition.html (3-tier print pack off the title slide)</t>
        </is>
      </c>
      <c r="G12" s="57" t="inlineStr">
        <is>
          <t>F</t>
        </is>
      </c>
      <c r="H12" s="62" t="inlineStr">
        <is>
          <t>Tiered 3 ways (Supported/Standard/Stretch) at arrival, independent work and exit. Bodies and food are personal. Teach every idea on the model, the diagram or the picture card - never on a pupil's own body, and never on what a pupil has eaten. If a pupil steps out, the diagram waits for them.</t>
        </is>
      </c>
      <c r="I12" s="62" t="inlineStr">
        <is>
          <t>TA pre-punches card and helps with split pins. Teacher says 'PULL' with a gesture every single time — GESTURE ANCHOR: fist pulled to shoulder = contract. LOOP [Feedback Policy]: Voice = build/feel/say 'pull' [VF, ?] → Audience: say what the muscle did; [R] once received → EVIDENCE: arm-model video clip, upload same day [E: science — daily evidence platform; banks ELC 8939].</t>
        </is>
      </c>
      <c r="J12" s="57" t="inlineStr">
        <is>
          <t>Note who says PULL rather than push.  → Influence: shared plenary with GROW on the elbow-as-lever is worth 5 minutes — same room, same idea, two rungs [NS].</t>
        </is>
      </c>
    </row>
    <row r="13" ht="330" customHeight="1" s="43">
      <c r="A13" s="58" t="inlineStr">
        <is>
          <t>PSHE / RSE</t>
        </is>
      </c>
      <c r="B13" s="59" t="inlineStr">
        <is>
          <t>Identity, rights &amp; British values (PSHE Association KS3, adapted) · AQA UAS 'Rights &amp; responsibilities' · ladders toward Grow PSHE · SoW Aut1·W5</t>
        </is>
      </c>
      <c r="C13" s="59" t="inlineStr">
        <is>
          <t>I can make a safer choice and say why.</t>
        </is>
      </c>
      <c r="D13" s="59" t="inlineStr">
        <is>
          <t>Zones check-in settles the session.  Freedom line-up — place 'free to / not free to' cards along a rope line: where is the line and why? → choice-point freeze-frames: walk through real scenarios (spending, friends, online) and PAUSE at the decision moment — name the risk, choose, say why → build a pocket 'good decision' card: 3 personal steps in pictures, to keep → exit: show your card.  EVIDENCE: freeze-frame photos + pocket cards (banks AQA UAS).  GROW STRETCH: 'Going for Grow' card — what would you tell a mate at the same choice point?</t>
        </is>
      </c>
      <c r="E13" s="59" t="inlineStr">
        <is>
          <t>choice, risk, safe, decision, pause, consequence, freedom</t>
        </is>
      </c>
      <c r="F13" s="59" t="inlineStr">
        <is>
          <t>Free/not-free cards + rope line; scenario walk cards; pocket-card blanks + picture steps; camera.</t>
        </is>
      </c>
      <c r="G13" s="59" t="inlineStr">
        <is>
          <t>F</t>
        </is>
      </c>
      <c r="H13" s="59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Scenarios walked, not discussed cold; the freeze gives thinking time by design (suits Pupil A); the pocket card is pictures only.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3" s="59" t="inlineStr">
        <is>
          <t>TA plays the second character in freeze-frames and scribes choices.  LOOP [Feedback Policy]: Voice = freeze/choose/say why [VF] → Audience: name the risk spotted back; [R] when the pause is used for real → EVIDENCE: photos + card, same day [E: BV individual liberty — daily evidence platform; banks AQA UAS].</t>
        </is>
      </c>
      <c r="J13" s="59" t="inlineStr">
        <is>
          <t>Influence: pocket cards go home — note who names a risk unprompted; feeds W6's respectful-disagreement stems [NS].</t>
        </is>
      </c>
    </row>
    <row r="14" ht="330" customHeight="1" s="43">
      <c r="A14" s="55" t="inlineStr">
        <is>
          <t>RE</t>
        </is>
      </c>
      <c r="B14" s="57" t="inlineStr">
        <is>
          <t>Belief, festivals &amp; belonging (Kapow + RE, adapted) · ladders toward Grow RE · SoW Aut1·W5</t>
        </is>
      </c>
      <c r="C14" s="61" t="inlineStr">
        <is>
          <t>I can sort what Christmas means to Christians from how people celebrate.</t>
        </is>
      </c>
      <c r="D14" s="62" t="inlineStr">
        <is>
          <t>Arrival: image sort — nativity / decorations / presents into 'the story' vs 'the party' hoops → nativity told via a team race to order the big picture cards → hands-on: Christingle making — every element means something, and each part is 'earned' by saying or pointing to its meaning → exit: hold up your Christingle and name one part.  EVIDENCE: photo + spoken/pointed explanation to the Festivals display.  GROW STRETCH: 'Going for Grow' card — explain why light appears in this festival too.</t>
        </is>
      </c>
      <c r="E14" s="62" t="inlineStr">
        <is>
          <t>Christmas, Christian, nativity, Christingle, symbol, sacred, celebrate</t>
        </is>
      </c>
      <c r="F14" s="62" t="inlineStr">
        <is>
          <t>Story/party hoops + image cards; big nativity sequence cards; Christingle kits (oranges, candles, ribbon, sweets — CHECK ALLERGIES); camera.</t>
        </is>
      </c>
      <c r="G14" s="57" t="inlineStr">
        <is>
          <t>F</t>
        </is>
      </c>
      <c r="H14" s="62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Sorting hoops are physical; earning parts by POINTING counts on the first rung; candle lit by staff only.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4" s="62" t="inlineStr">
        <is>
          <t>TA runs the Christingle line and captures each explanation.  LOOP [Feedback Policy]: Voice = sort/race/earn-a-part [VF, ?] → Audience: name the symbol meaning back; [R] once received → EVIDENCE: photo + clip, same day [E: cultural — daily evidence platform].</t>
        </is>
      </c>
      <c r="J14" s="57" t="inlineStr">
        <is>
          <t>Influence: third column of the W6 grid banked — the 'light' thread should now be pupil-spotted, not teacher-fed [NS].</t>
        </is>
      </c>
    </row>
    <row r="15" ht="330" customHeight="1" s="43">
      <c r="A15" s="58" t="inlineStr">
        <is>
          <t>Humanities</t>
        </is>
      </c>
      <c r="B15" s="59" t="inlineStr">
        <is>
          <t>Migration &amp; identity in Britain (Kapow History, adapted) · NC KS2, supported · AQA UAS 'History around us' · ladders toward Grow Humanities · SoW Aut1·W5</t>
        </is>
      </c>
      <c r="C15" s="61" t="inlineStr">
        <is>
          <t>I can say whether my person or event was a big deal and give one reason.</t>
        </is>
      </c>
      <c r="D15" s="62" t="inlineStr">
        <is>
          <t>Arrival: 'big deal or small deal?' — rank 3 everyday events on a floor line (lost my pen → moved house) → model 'important because it changed…' → we do: judge one class event together and give the reason → you do: place your Week 4 figure on the importance line and complete 'important because…' — say, record or stick it → exit: defend your spot in one line.  EVIDENCE: line photo + reasons (banks AQA UAS).  GROW STRETCH: 'Going for Grow' card — compare two figures: who changed MORE?</t>
        </is>
      </c>
      <c r="E15" s="62" t="inlineStr">
        <is>
          <t>important, significant, big deal, changed, reason, judge, compare</t>
        </is>
      </c>
      <c r="F15" s="62" t="inlineStr">
        <is>
          <t>Floor importance line; everyday-event cards; W4 profile cards; reason strips; camera.</t>
        </is>
      </c>
      <c r="G15" s="57" t="inlineStr">
        <is>
          <t>F</t>
        </is>
      </c>
      <c r="H15" s="62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The line is walked; reasons said or scribed; 'because it changed…' stem carried on a card.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5" s="62" t="inlineStr">
        <is>
          <t>TA challenges gently ('why higher than…?') and scribes each defence.  LOOP [Feedback Policy]: Voice = place/say the reason [VF, ?] → Audience: name the change-claim back; [R] once received → EVIDENCE: line photo + strips, same day [E: humanities — daily evidence platform; banks AQA UAS].</t>
        </is>
      </c>
      <c r="J15" s="57" t="inlineStr">
        <is>
          <t>Influence: who reasons about change vs restates facts shapes W6's account planning — record the change made [NS].</t>
        </is>
      </c>
    </row>
    <row r="16" ht="330" customHeight="1" s="43">
      <c r="A16" s="55" t="inlineStr">
        <is>
          <t>Arts (Arts Award)</t>
        </is>
      </c>
      <c r="B16" s="57" t="inlineStr">
        <is>
          <t>Identity in art &amp; developing skills (Trinity Arts Award Explore, supported) · AQA UAS 'Creating artwork' · toward Explore completion → Bronze (Launch) · SoW Creative Arts</t>
        </is>
      </c>
      <c r="C16" s="61" t="inlineStr">
        <is>
          <t>I can make one improvement to my artwork and show before and after.</t>
        </is>
      </c>
      <c r="D16" s="62" t="inlineStr">
        <is>
          <t>Arrival: 'star and a step' on a demo piece — one thing you like, one to change → model one small improvement (more contrast, add a symbol, build the texture) → we do: improve the demo together → you do: make ONE improvement to your identity piece; before/after photos into the log → exit: 'I improved… by…' — say, point or scribe.  EVIDENCE: before/after pair in the Explore log.  GROW STRETCH: 'Going for Grow' card — say what you'd improve NEXT and why.</t>
        </is>
      </c>
      <c r="E16" s="62" t="inlineStr">
        <is>
          <t>improve, star, step, before, after, change, contrast</t>
        </is>
      </c>
      <c r="F16" s="62" t="inlineStr">
        <is>
          <t>Demo piece; each pupil's W4 artwork; improvement materials; Explore log; camera.</t>
        </is>
      </c>
      <c r="G16" s="57" t="inlineStr">
        <is>
          <t>F</t>
        </is>
      </c>
      <c r="H16" s="62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One improvement only — protects the piece and the confidence; the before photo is taken BY the pupil (ownership).  Pupil B: texture/pattern improvements offered first.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6" s="62" t="inlineStr">
        <is>
          <t>TA shoots the pairs and scribes the improved-by line.  LOOP [Feedback Policy]: Voice = improve + pair + comment [VF] → Audience: name the improvement back; [R] then one next step [NS] → EVIDENCE: before/after to the Explore log, same day [E: Arts Award].</t>
        </is>
      </c>
      <c r="J16" s="57" t="inlineStr">
        <is>
          <t>Influence: review-and-improve is an Explore behaviour — flag who initiates their own step for moderation [NS].</t>
        </is>
      </c>
    </row>
    <row r="17" ht="45.75" customHeight="1" s="43">
      <c r="A17" s="58" t="inlineStr">
        <is>
          <t>PE</t>
        </is>
      </c>
      <c r="B17" s="59" t="n"/>
      <c r="C17" s="59" t="n"/>
      <c r="D17" s="59" t="n"/>
      <c r="E17" s="59" t="n"/>
      <c r="F17" s="59" t="n"/>
      <c r="G17" s="59" t="n"/>
      <c r="H17" s="59" t="n"/>
      <c r="I17" s="59" t="n"/>
      <c r="J17" s="59" t="n"/>
    </row>
    <row r="18" ht="45.75" customHeight="1" s="43">
      <c r="A18" s="55" t="inlineStr">
        <is>
          <t>ASDAN PEQ (WellbLeE3)</t>
        </is>
      </c>
      <c r="B18" s="57" t="inlineStr">
        <is>
          <t>ASDAN PEQ · WellbLeE3 · Aut·W5 — E3.3 strategies that work for me</t>
        </is>
      </c>
      <c r="C18" s="57" t="inlineStr">
        <is>
          <t>I can choose a strategy that helps me learn.</t>
        </is>
      </c>
      <c r="D18" s="57" t="inlineStr">
        <is>
          <t>Arrival: try three strategies for real — movement break · ear defenders · a checklist. I DO: model choosing one and saying why. WE DO: rate each thumbs up/down. YOU DO: pick your top strategy; adult scribes the reason; photo. E3.3 evidenced. These trials are the raw material for the PLAN created in W9–W10 — keep every rating sheet.</t>
        </is>
      </c>
      <c r="E18" s="57" t="inlineStr">
        <is>
          <t>strategy, choose, works, movement, break, checklist, quiet, try</t>
        </is>
      </c>
      <c r="F18" s="57" t="inlineStr">
        <is>
          <t>Strategy kit (ear defenders, checklists, timers, movement cards); thumbs rating board; Evidence Binder; camera.</t>
        </is>
      </c>
      <c r="G18" s="57" t="inlineStr">
        <is>
          <t>F</t>
        </is>
      </c>
      <c r="H18" s="57" t="inlineStr">
        <is>
          <t>All three strategies physically trialled before choosing; ear defenders/breaks live options during the trial; chosen strategy photographed not written</t>
        </is>
      </c>
      <c r="I18" s="57" t="inlineStr">
        <is>
          <t>TA supervises strategy trials and writes one witness statement per pupil naming the chosen technique (E3.3.2); teacher checks two ways minimum are evidenced (E3.3.1)</t>
        </is>
      </c>
      <c r="J18" s="57" t="n"/>
    </row>
    <row r="19" ht="45.75" customHeight="1" s="43">
      <c r="A19" s="55" t="inlineStr">
        <is>
          <t>Slot 1 · Careers (ASDAN)</t>
        </is>
      </c>
      <c r="B19" s="57" t="inlineStr">
        <is>
          <t>Careers &amp; world of work — strengths to jobs (evidences ASDAN Living Independently M8; AQA UAS)</t>
        </is>
      </c>
      <c r="C19" s="57" t="inlineStr">
        <is>
          <t>I can name skills employers want and give an example of mine.</t>
        </is>
      </c>
      <c r="D19" s="57" t="inlineStr">
        <is>
          <t>Skills auction game → match employer skills to W1 strengths → record the PEQ link.</t>
        </is>
      </c>
      <c r="E19" s="57" t="inlineStr">
        <is>
          <t>strength, skill, job, worker, employer, routine, profile, evidence</t>
        </is>
      </c>
      <c r="F19" s="57" t="inlineStr">
        <is>
          <t>Strength cards; local jobs photo bank; profile posters; visitor link. W1 lesson: BUILD_L1_Careers_Strengths.html (evidence print incl. Yellow Box/WWW-EBI footer).</t>
        </is>
      </c>
      <c r="G19" s="57" t="inlineStr">
        <is>
          <t>F</t>
        </is>
      </c>
      <c r="H19" s="57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19" s="57" t="inlineStr">
        <is>
          <t>TA runs paired talk with stems; scribes for reluctant writers (note “TA scribed”); champions Pupil A early and often.</t>
        </is>
      </c>
      <c r="J19" s="57" t="n"/>
    </row>
    <row r="20" ht="45.75" customHeight="1" s="43">
      <c r="A20" s="55" t="inlineStr">
        <is>
          <t>Slot 2 · Vocational / D&amp;T (ASDAN)</t>
        </is>
      </c>
      <c r="B20" s="57" t="inlineStr">
        <is>
          <t>D&amp;T via ASDAN tasters: kitchen skills → Textiles design-make-evaluate (Aut1); Construction from Aut2</t>
        </is>
      </c>
      <c r="C20" s="57" t="inlineStr">
        <is>
          <t>I can cut out my design safely and begin to make it.</t>
        </is>
      </c>
      <c r="D20" s="57" t="inlineStr">
        <is>
          <t>Mark out with templates → safe cutting practice → begin assembly with modelled joins.</t>
        </is>
      </c>
      <c r="E20" s="57" t="inlineStr">
        <is>
          <t>tool, safety, hygiene, recipe, fabric, join, design, evaluate</t>
        </is>
      </c>
      <c r="F20" s="57" t="inlineStr">
        <is>
          <t>Kitchen + tools, PPE, recipe cards; fabrics &amp; fastenings. W1 lesson: BUILD_L1_Vocational_Kitchen_Induction.html.</t>
        </is>
      </c>
      <c r="G20" s="57" t="inlineStr">
        <is>
          <t>F</t>
        </is>
      </c>
      <c r="H20" s="57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0" s="57" t="inlineStr">
        <is>
          <t>TA runs safe-carry / wash-up stations; signs skill cards only when genuinely met; models every technique first.</t>
        </is>
      </c>
      <c r="J20" s="57" t="n"/>
    </row>
    <row r="21" ht="45.75" customHeight="1" s="43">
      <c r="A21" s="55" t="inlineStr">
        <is>
          <t>Slot 3 · PfA — ASDAN Living Independently</t>
        </is>
      </c>
      <c r="B21" s="57" t="inlineStr">
        <is>
          <t>ASDAN LI — M1 Earning &amp; Spending Money (Aut1) → M2 Keeping Track of Your Money (Aut2); Section A: 4 challenges over ~10 hrs = 1 credit per module</t>
        </is>
      </c>
      <c r="C21" s="57" t="inlineStr">
        <is>
          <t>Everyday prices: I can estimate and compare the cost of essentials (links Numeracy).</t>
        </is>
      </c>
      <c r="D21" s="57" t="inlineStr">
        <is>
          <t>Price-tag estimation game → compare two shops for the same basket → cheapest-basket challenge.</t>
        </is>
      </c>
      <c r="E21" s="57" t="inlineStr">
        <is>
          <t>income, spending, wages, benefits, payslip, price, budget, bank</t>
        </is>
      </c>
      <c r="F21" s="57" t="inlineStr">
        <is>
          <t>Practice money + tins, payslip, price tags, money-map paper, spending diary; LI student book / e-portfolio. W1 lesson: BUILD_L1_LI_Where_Money_Comes_From.html.</t>
        </is>
      </c>
      <c r="G21" s="57" t="inlineStr">
        <is>
          <t>F</t>
        </is>
      </c>
      <c r="H21" s="57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1" s="57" t="inlineStr">
        <is>
          <t>TA runs wage-packet counting 1:1; money talk stays judgement-free; NO personal family finances recorded.</t>
        </is>
      </c>
      <c r="J21" s="57" t="n"/>
    </row>
    <row r="22" ht="45.75" customHeight="1" s="43">
      <c r="A22" s="55" t="inlineStr">
        <is>
          <t>Slot 4 · PfA — ASDAN FoodWise</t>
        </is>
      </c>
      <c r="B22" s="57" t="inlineStr">
        <is>
          <t>ASDAN FoodWise — M1 Healthy Eating (Aut1) → M2 Basic Food Safety (Aut2); Section A: 4 challenges over ~10 hrs = 1 credit per module</t>
        </is>
      </c>
      <c r="C22" s="57" t="inlineStr">
        <is>
          <t>Practical: I can make a healthy snack hygienically (photo + self-check).</t>
        </is>
      </c>
      <c r="D22" s="57" t="inlineStr">
        <is>
          <t>Hygiene routine → paired make → self-check sheet + photo evidence.</t>
        </is>
      </c>
      <c r="E22" s="57" t="inlineStr">
        <is>
          <t>food group, carbohydrate, protein, dairy, balance, label, hygiene, safety</t>
        </is>
      </c>
      <c r="F22" s="57" t="inlineStr">
        <is>
          <t>Eatwell mat + real foods, packaging for traffic-light labels, kitchen, display kit; FoodWise student book. SMSC anchor: World Food Day 16 Oct. W1 lesson: FW_L1_Food_Groups.html.</t>
        </is>
      </c>
      <c r="G22" s="57" t="inlineStr">
        <is>
          <t>F</t>
        </is>
      </c>
      <c r="H22" s="57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2" s="57" t="inlineStr">
        <is>
          <t>TA runs food-handling hygiene checks; allergy list confirmed with the office before EVERY food session; photo evidence per pupil per practical.</t>
        </is>
      </c>
      <c r="J22" s="57" t="n"/>
    </row>
    <row r="23" ht="45.75" customHeight="1" s="43">
      <c r="A23" s="55" t="inlineStr">
        <is>
          <t>Slot 5 · Community A — Community Project &amp; Vocational</t>
        </is>
      </c>
      <c r="B23" s="57" t="inlineStr">
        <is>
          <t>Community Project &amp; Vocational — sustained local contribution; ASDAN/UAS community evidence. Trips/Visits policy applies to ALL off-site work (approval 4 weeks ahead, min. two staff).</t>
        </is>
      </c>
      <c r="C23" s="57" t="inlineStr">
        <is>
          <t>I can make first contact with a local partner or visitor.</t>
        </is>
      </c>
      <c r="D23" s="57" t="inlineStr">
        <is>
          <t>Draft and send the contact message together (scribed/typed) → prepare our questions.</t>
        </is>
      </c>
      <c r="E23" s="57" t="inlineStr">
        <is>
          <t>community, project, partner, role, responsibility, contribute, evidence</t>
        </is>
      </c>
      <c r="F23" s="57" t="inlineStr">
        <is>
          <t>Local partner venue; PPE as required; project log; camera. ICT embedded: digital project log.</t>
        </is>
      </c>
      <c r="G23" s="57" t="inlineStr">
        <is>
          <t>F</t>
        </is>
      </c>
      <c r="H23" s="57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3" s="57" t="inlineStr">
        <is>
          <t>TA supports allocated roles and captures the weekly log; off-site checklist confirmed before leaving site every time.</t>
        </is>
      </c>
      <c r="J23" s="57" t="n"/>
    </row>
    <row r="24" ht="45.75" customHeight="1" s="43">
      <c r="A24" s="55" t="inlineStr">
        <is>
          <t>Slot 6 · Community B — Junior/Young Duke + Social Enterprise</t>
        </is>
      </c>
      <c r="B24" s="57" t="inlineStr">
        <is>
          <t>Junior/Young Duke (Capable Kids) challenge levels + community &amp; social enterprise action · AQA UAS “Personal challenge”.</t>
        </is>
      </c>
      <c r="C24" s="57" t="inlineStr">
        <is>
          <t>I can begin an eco/community challenge (links Humanities).</t>
        </is>
      </c>
      <c r="D24" s="57" t="inlineStr">
        <is>
          <t>Litter pick or planting task (links Humanities) → before/after photos.</t>
        </is>
      </c>
      <c r="E24" s="57" t="inlineStr">
        <is>
          <t>challenge, pledge, evidence, resilience, kindness, independence</t>
        </is>
      </c>
      <c r="F24" s="57" t="inlineStr">
        <is>
          <t>Junior/Young Duke booklets (first aid, cookery, eco, independence challenges); challenge log; camera/tablet. SMSC anchors: Anti-Bullying Week 16–20 Nov, World Kindness Day 13 Nov.</t>
        </is>
      </c>
      <c r="G24" s="57" t="inlineStr">
        <is>
          <t>F</t>
        </is>
      </c>
      <c r="H24" s="57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4" s="57" t="inlineStr">
        <is>
          <t>TA witnesses and photographs each challenge attempt; tutor signs off only genuinely met challenges; pledge wall kept current.</t>
        </is>
      </c>
      <c r="J24" s="57" t="n"/>
    </row>
    <row r="26" ht="18" customHeight="1" s="43">
      <c r="A26" s="63" t="inlineStr">
        <is>
          <t>Enrichment &amp; wider opportunities this week   (trips, visitors, themed days, SMSC calendar link, PfA / community)</t>
        </is>
      </c>
    </row>
    <row r="27" ht="39.75" customHeight="1" s="43">
      <c r="A27" s="64" t="inlineStr">
        <is>
          <t>Thu 1 Oct: Black History Month launches — BHM profile wall begins (Humanities/Arts).  National Poetry Day Thu 1 Oct (tbc).  Whole-school theme assembly: Identity &amp; Belonging → diverse Britain.  PfA / community: local walk.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6" t="n"/>
    </row>
    <row r="28" ht="18" customHeight="1" s="43">
      <c r="A28" s="63" t="inlineStr">
        <is>
          <t>Resources &amp; support to prepare before the week   (printing, kit, bookings, briefing the team)</t>
        </is>
      </c>
    </row>
    <row r="29" ht="39.75" customHeight="1" s="43">
      <c r="A29" s="67" t="inlineStr">
        <is>
          <t>Print/prepare: cue cards + recording corner, coin sets + shop stock + till, question ballot + plan cards/strips, rope line + scenario cards + pocket-card blanks, Christingle kits (CHECK ALLERGIES; staff-only candle lighting), importance line + reason strips, demo piece + improvement materials.  Brief TAs on W6 ⚠ WMHD framing (light, opt-outs).</t>
        </is>
      </c>
      <c r="B29" s="65" t="n"/>
      <c r="C29" s="65" t="n"/>
      <c r="D29" s="65" t="n"/>
      <c r="E29" s="65" t="n"/>
      <c r="F29" s="65" t="n"/>
      <c r="G29" s="65" t="n"/>
      <c r="H29" s="65" t="n"/>
      <c r="I29" s="65" t="n"/>
      <c r="J29" s="66" t="n"/>
    </row>
    <row r="30" ht="18" customHeight="1" s="43">
      <c r="A30" s="68" t="inlineStr">
        <is>
          <t xml:space="preserve">F = formative  ·  S = summative  ·  PfA = Preparing for Adulthood  </t>
        </is>
      </c>
    </row>
  </sheetData>
  <mergeCells count="9">
    <mergeCell ref="A1:J1"/>
    <mergeCell ref="A8:J8"/>
    <mergeCell ref="B6:D6"/>
    <mergeCell ref="A27:J27"/>
    <mergeCell ref="A30:J30"/>
    <mergeCell ref="A29:J29"/>
    <mergeCell ref="A26:J26"/>
    <mergeCell ref="A2:J2"/>
    <mergeCell ref="A28:J28"/>
  </mergeCells>
  <dataValidations count="4">
    <dataValidation sqref="B4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B5" showDropDown="0" showInputMessage="0" showErrorMessage="0" allowBlank="1" errorTitle="Choose from the list" error="Pick a value from the list." type="list" errorStyle="stop" operator="between">
      <formula1>"Autumn,Spring,Summer"</formula1>
      <formula2>0</formula2>
    </dataValidation>
    <dataValidation sqref="A10:A18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G10:G18" showDropDown="0" showInputMessage="0" showErrorMessage="0" allowBlank="1" errorTitle="Choose from the list" error="Pick a value from the list." type="list" errorStyle="stop" operator="between">
      <formula1>"F,S,F + 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baseColWidth="8" defaultColWidth="8.5625" defaultRowHeight="14.25" zeroHeight="0" outlineLevelRow="0"/>
  <cols>
    <col width="16" customWidth="1" style="42" min="1" max="1"/>
    <col width="11" customWidth="1" style="42" min="2" max="2"/>
    <col width="10" customWidth="1" style="42" min="3" max="3"/>
    <col width="15" customWidth="1" style="42" min="4" max="4"/>
    <col width="26" customWidth="1" style="42" min="5" max="5"/>
    <col width="36" customWidth="1" style="42" min="6" max="7"/>
    <col width="22" customWidth="1" style="42" min="8" max="8"/>
    <col width="26" customWidth="1" style="42" min="9" max="9"/>
  </cols>
  <sheetData>
    <row r="1" ht="25.5" customHeight="1" s="43">
      <c r="A1" s="69" t="inlineStr">
        <is>
          <t>Student Adaptations</t>
        </is>
      </c>
    </row>
    <row r="2" ht="14.25" customHeight="1" s="43">
      <c r="A2" s="45" t="n"/>
    </row>
    <row r="4" ht="27.75" customHeight="1" s="43">
      <c r="A4" s="54" t="inlineStr">
        <is>
          <t>Name</t>
        </is>
      </c>
      <c r="B4" s="54" t="inlineStr">
        <is>
          <t>Pathway</t>
        </is>
      </c>
      <c r="C4" s="54" t="inlineStr">
        <is>
          <t>Year / KS</t>
        </is>
      </c>
      <c r="D4" s="54" t="inlineStr">
        <is>
          <t>Reading age band</t>
        </is>
      </c>
      <c r="E4" s="54" t="inlineStr">
        <is>
          <t>Communication / sensory needs</t>
        </is>
      </c>
      <c r="F4" s="54" t="inlineStr">
        <is>
          <t>Key scaffolds &amp; adaptations</t>
        </is>
      </c>
      <c r="G4" s="54" t="inlineStr">
        <is>
          <t>EHCP primary outcomes</t>
        </is>
      </c>
      <c r="H4" s="54" t="inlineStr">
        <is>
          <t>PfA focus</t>
        </is>
      </c>
      <c r="I4" s="54" t="inlineStr">
        <is>
          <t>Notes</t>
        </is>
      </c>
    </row>
    <row r="5" ht="174.75" customHeight="1" s="43">
      <c r="A5" s="55" t="inlineStr">
        <is>
          <t>Pupil A</t>
        </is>
      </c>
      <c r="B5" s="57" t="inlineStr">
        <is>
          <t>BUILD</t>
        </is>
      </c>
      <c r="C5" s="57" t="inlineStr">
        <is>
          <t>KS4</t>
        </is>
      </c>
      <c r="D5" s="70" t="n"/>
      <c r="E5" s="70" t="n"/>
      <c r="F5" s="70" t="n"/>
      <c r="G5" s="70" t="n"/>
      <c r="H5" s="70" t="n"/>
      <c r="I5" s="70" t="n"/>
    </row>
    <row r="6" ht="174.75" customHeight="1" s="43">
      <c r="A6" s="55" t="inlineStr">
        <is>
          <t>Pupil B</t>
        </is>
      </c>
      <c r="B6" s="57" t="inlineStr">
        <is>
          <t>BUILD</t>
        </is>
      </c>
      <c r="C6" s="57" t="inlineStr">
        <is>
          <t>KS4</t>
        </is>
      </c>
      <c r="D6" s="70" t="n"/>
      <c r="E6" s="70" t="n"/>
      <c r="F6" s="70" t="n"/>
      <c r="G6" s="70" t="n"/>
      <c r="H6" s="70" t="n"/>
      <c r="I6" s="70" t="n"/>
    </row>
    <row r="7" ht="174.75" customHeight="1" s="43">
      <c r="A7" s="55" t="inlineStr">
        <is>
          <t>Pupil C</t>
        </is>
      </c>
      <c r="B7" s="57" t="inlineStr">
        <is>
          <t>BUILD</t>
        </is>
      </c>
      <c r="C7" s="57" t="inlineStr">
        <is>
          <t>KS4</t>
        </is>
      </c>
      <c r="D7" s="70" t="n"/>
      <c r="E7" s="70" t="n"/>
      <c r="F7" s="70" t="n"/>
      <c r="G7" s="70" t="n"/>
      <c r="H7" s="70" t="n"/>
      <c r="I7" s="70" t="n"/>
    </row>
    <row r="8" ht="174.75" customHeight="1" s="43">
      <c r="A8" s="55" t="inlineStr">
        <is>
          <t>Pupil D</t>
        </is>
      </c>
      <c r="B8" s="57" t="inlineStr">
        <is>
          <t>BUILD</t>
        </is>
      </c>
      <c r="C8" s="57" t="inlineStr">
        <is>
          <t>KS4</t>
        </is>
      </c>
      <c r="D8" s="70" t="n"/>
      <c r="E8" s="70" t="n"/>
      <c r="F8" s="70" t="n"/>
      <c r="G8" s="70" t="n"/>
      <c r="H8" s="70" t="n"/>
      <c r="I8" s="70" t="n"/>
    </row>
    <row r="9" ht="30" customHeight="1" s="43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</row>
    <row r="10" ht="30" customHeight="1" s="43">
      <c r="A10" s="72" t="n"/>
      <c r="B10" s="72" t="n"/>
      <c r="C10" s="72" t="n"/>
      <c r="D10" s="72" t="n"/>
      <c r="E10" s="72" t="n"/>
      <c r="F10" s="72" t="n"/>
      <c r="G10" s="72" t="n"/>
      <c r="H10" s="72" t="n"/>
      <c r="I10" s="72" t="n"/>
    </row>
    <row r="11" ht="30" customHeight="1" s="43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</row>
    <row r="12" ht="30" customHeight="1" s="43">
      <c r="A12" s="72" t="n"/>
      <c r="B12" s="72" t="n"/>
      <c r="C12" s="72" t="n"/>
      <c r="D12" s="72" t="n"/>
      <c r="E12" s="72" t="n"/>
      <c r="F12" s="72" t="n"/>
      <c r="G12" s="72" t="n"/>
      <c r="H12" s="72" t="n"/>
      <c r="I12" s="72" t="n"/>
    </row>
    <row r="13" ht="30" customHeight="1" s="4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</row>
    <row r="14" ht="30" customHeight="1" s="43">
      <c r="A14" s="72" t="n"/>
      <c r="B14" s="72" t="n"/>
      <c r="C14" s="72" t="n"/>
      <c r="D14" s="72" t="n"/>
      <c r="E14" s="72" t="n"/>
      <c r="F14" s="72" t="n"/>
      <c r="G14" s="72" t="n"/>
      <c r="H14" s="72" t="n"/>
      <c r="I14" s="72" t="n"/>
    </row>
    <row r="15" ht="30" customHeight="1" s="43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</row>
    <row r="16" ht="30" customHeight="1" s="43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</row>
    <row r="17" ht="30" customHeight="1" s="43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</row>
    <row r="18" ht="30" customHeight="1" s="43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</row>
    <row r="19" ht="30" customHeight="1" s="43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</row>
  </sheetData>
  <mergeCells count="2">
    <mergeCell ref="A1:I1"/>
    <mergeCell ref="A2:I2"/>
  </mergeCells>
  <conditionalFormatting sqref="B5:B19">
    <cfRule type="cellIs" rank="0" priority="2" equalAverage="0" operator="equal" aboveAverage="0" dxfId="0" text="" percent="0" bottom="0">
      <formula>"BUILD"</formula>
    </cfRule>
    <cfRule type="cellIs" rank="0" priority="3" equalAverage="0" operator="equal" aboveAverage="0" dxfId="1" text="" percent="0" bottom="0">
      <formula>"GROW"</formula>
    </cfRule>
    <cfRule type="cellIs" rank="0" priority="4" equalAverage="0" operator="equal" aboveAverage="0" dxfId="2" text="" percent="0" bottom="0">
      <formula>"LAUNCH"</formula>
    </cfRule>
  </conditionalFormatting>
  <dataValidations count="1">
    <dataValidation sqref="B5:B19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2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7" activeCellId="0" sqref="D7"/>
    </sheetView>
  </sheetViews>
  <sheetFormatPr baseColWidth="8" defaultColWidth="8.5625" defaultRowHeight="14.25" zeroHeight="0" outlineLevelRow="0"/>
  <cols>
    <col width="12" customWidth="1" style="42" min="1" max="1"/>
    <col width="11" customWidth="1" style="42" min="2" max="2"/>
    <col width="16" customWidth="1" style="42" min="3" max="3"/>
    <col width="28" customWidth="1" style="42" min="4" max="4"/>
    <col width="24" customWidth="1" style="42" min="5" max="5"/>
    <col width="9" customWidth="1" style="42" min="6" max="6"/>
    <col width="24" customWidth="1" style="42" min="7" max="7"/>
    <col width="18" customWidth="1" style="42" min="8" max="8"/>
    <col width="26" customWidth="1" style="42" min="9" max="9"/>
  </cols>
  <sheetData>
    <row r="1" ht="25.5" customHeight="1" s="43">
      <c r="A1" s="73" t="inlineStr">
        <is>
          <t xml:space="preserve">Outcome Tracker </t>
        </is>
      </c>
    </row>
    <row r="2" ht="14.25" customHeight="1" s="43">
      <c r="A2" s="74" t="inlineStr">
        <is>
          <t xml:space="preserve">Did everyone make progress and meet the outcome? </t>
        </is>
      </c>
    </row>
    <row r="3" ht="18" customHeight="1" s="43">
      <c r="A3" s="75" t="inlineStr">
        <is>
          <t>GREEN</t>
        </is>
      </c>
      <c r="B3" s="76" t="inlineStr">
        <is>
          <t>All demonstrated progress &amp; achieved the outcome</t>
        </is>
      </c>
      <c r="D3" s="77" t="inlineStr">
        <is>
          <t>AMBER</t>
        </is>
      </c>
      <c r="E3" s="76" t="inlineStr">
        <is>
          <t>Partly met, revisit in class</t>
        </is>
      </c>
      <c r="G3" s="78" t="inlineStr">
        <is>
          <t>RED</t>
        </is>
      </c>
      <c r="H3" s="76" t="inlineStr">
        <is>
          <t>Not met, pick up through intervention</t>
        </is>
      </c>
    </row>
    <row r="4"/>
    <row r="5" ht="27.75" customHeight="1" s="43">
      <c r="A5" s="54" t="inlineStr">
        <is>
          <t>Week (w/c)</t>
        </is>
      </c>
      <c r="B5" s="54" t="inlineStr">
        <is>
          <t>Pathway</t>
        </is>
      </c>
      <c r="C5" s="54" t="inlineStr">
        <is>
          <t>Subject</t>
        </is>
      </c>
      <c r="D5" s="54" t="inlineStr">
        <is>
          <t>Outcome reviewed</t>
        </is>
      </c>
      <c r="E5" s="54" t="inlineStr">
        <is>
          <t>Marking / evidence</t>
        </is>
      </c>
      <c r="F5" s="54" t="inlineStr">
        <is>
          <t>RAG</t>
        </is>
      </c>
      <c r="G5" s="54" t="inlineStr">
        <is>
          <t>Students not yet secure</t>
        </is>
      </c>
      <c r="H5" s="54" t="inlineStr">
        <is>
          <t>Picked up via</t>
        </is>
      </c>
      <c r="I5" s="54" t="inlineStr">
        <is>
          <t>Action &amp; timescale</t>
        </is>
      </c>
    </row>
    <row r="6" ht="30" customHeight="1" s="43">
      <c r="A6" s="79" t="n">
        <v>46293</v>
      </c>
      <c r="B6" s="72" t="inlineStr">
        <is>
          <t>BUILD</t>
        </is>
      </c>
      <c r="C6" s="72" t="inlineStr">
        <is>
          <t>English</t>
        </is>
      </c>
      <c r="D6" s="56" t="inlineStr">
        <is>
          <t>Students identified a main idea from a community/workplace text and gave one reason.</t>
        </is>
      </c>
      <c r="E6" s="72" t="n"/>
      <c r="F6" s="72" t="n"/>
      <c r="G6" s="72" t="n"/>
      <c r="H6" s="72" t="n"/>
      <c r="I6" s="72" t="n"/>
    </row>
    <row r="7" ht="30" customHeight="1" s="43">
      <c r="A7" s="79" t="n">
        <v>46293</v>
      </c>
      <c r="B7" s="57" t="inlineStr">
        <is>
          <t>BUILD</t>
        </is>
      </c>
      <c r="C7" s="72" t="inlineStr">
        <is>
          <t>Maths</t>
        </is>
      </c>
      <c r="D7" s="59" t="inlineStr">
        <is>
          <t>I can multiply and divide numbers by 10, 100 and 1000 and identify multiples and factors of numbers.</t>
        </is>
      </c>
      <c r="E7" s="72" t="n"/>
      <c r="F7" s="72" t="n"/>
      <c r="G7" s="72" t="n"/>
      <c r="H7" s="72" t="n"/>
      <c r="I7" s="72" t="n"/>
    </row>
    <row r="8" ht="30" customHeight="1" s="43">
      <c r="A8" s="79" t="n">
        <v>46293</v>
      </c>
      <c r="B8" s="57" t="inlineStr">
        <is>
          <t>BUILD</t>
        </is>
      </c>
      <c r="C8" s="57" t="inlineStr">
        <is>
          <t>Science</t>
        </is>
      </c>
      <c r="D8" s="57" t="inlineStr">
        <is>
          <t>I can name what a body needs from food and why.</t>
        </is>
      </c>
      <c r="E8" s="57" t="n"/>
      <c r="F8" s="57" t="n"/>
      <c r="G8" s="57" t="n"/>
      <c r="H8" s="57" t="n"/>
      <c r="I8" s="57" t="n"/>
    </row>
    <row r="9" ht="30" customHeight="1" s="43">
      <c r="A9" s="79" t="n">
        <v>46293</v>
      </c>
      <c r="B9" s="57" t="inlineStr">
        <is>
          <t>BUILD</t>
        </is>
      </c>
      <c r="C9" s="57" t="inlineStr">
        <is>
          <t>PSHE / RSE</t>
        </is>
      </c>
      <c r="D9" s="57" t="inlineStr">
        <is>
          <t>I can make a safer choice and say why.</t>
        </is>
      </c>
      <c r="E9" s="57" t="n"/>
      <c r="F9" s="57" t="n"/>
      <c r="G9" s="57" t="n"/>
      <c r="H9" s="57" t="n"/>
      <c r="I9" s="57" t="n"/>
    </row>
    <row r="10" ht="30" customHeight="1" s="43">
      <c r="A10" s="79" t="n">
        <v>46293</v>
      </c>
      <c r="B10" s="57" t="inlineStr">
        <is>
          <t>BUILD</t>
        </is>
      </c>
      <c r="C10" s="57" t="inlineStr">
        <is>
          <t>Humanities</t>
        </is>
      </c>
      <c r="D10" s="57" t="inlineStr">
        <is>
          <t>I can say whether my person or event was a big deal and give one reason.</t>
        </is>
      </c>
      <c r="E10" s="57" t="n"/>
      <c r="F10" s="57" t="n"/>
      <c r="G10" s="57" t="n"/>
      <c r="H10" s="57" t="n"/>
      <c r="I10" s="57" t="n"/>
    </row>
    <row r="11" ht="30" customHeight="1" s="43">
      <c r="A11" s="79" t="n">
        <v>46293</v>
      </c>
      <c r="B11" s="57" t="inlineStr">
        <is>
          <t>BUILD</t>
        </is>
      </c>
      <c r="C11" s="57" t="inlineStr">
        <is>
          <t>Arts (Arts Award)</t>
        </is>
      </c>
      <c r="D11" s="57" t="inlineStr">
        <is>
          <t>I can make one improvement to my artwork and show before and after.</t>
        </is>
      </c>
      <c r="E11" s="57" t="n"/>
      <c r="F11" s="57" t="n"/>
      <c r="G11" s="57" t="n"/>
      <c r="H11" s="57" t="n"/>
      <c r="I11" s="57" t="n"/>
    </row>
    <row r="12" ht="30" customHeight="1" s="43">
      <c r="A12" s="79" t="n">
        <v>46293</v>
      </c>
      <c r="B12" s="57" t="inlineStr">
        <is>
          <t>BUILD</t>
        </is>
      </c>
      <c r="C12" s="71" t="inlineStr">
        <is>
          <t>RE</t>
        </is>
      </c>
      <c r="D12" s="61" t="inlineStr">
        <is>
          <t>I can sort what Christmas means to Christians from how people celebrate.</t>
        </is>
      </c>
      <c r="E12" s="71" t="n"/>
      <c r="F12" s="71" t="n"/>
      <c r="G12" s="71" t="n"/>
      <c r="H12" s="71" t="n"/>
      <c r="I12" s="71" t="n"/>
    </row>
    <row r="13" ht="30" customHeight="1" s="43">
      <c r="A13" s="80" t="n">
        <v>46293</v>
      </c>
      <c r="B13" s="71" t="inlineStr">
        <is>
          <t>BUILD</t>
        </is>
      </c>
      <c r="C13" s="71" t="inlineStr">
        <is>
          <t>ASDAN PEQ (WellbLeE3)</t>
        </is>
      </c>
      <c r="D13" s="71" t="inlineStr">
        <is>
          <t>I can choose a strategy that helps me learn.</t>
        </is>
      </c>
      <c r="E13" s="71" t="inlineStr">
        <is>
          <t>PEQ portfolio: photos + scribed voice + witness statements</t>
        </is>
      </c>
      <c r="F13" s="71" t="n"/>
      <c r="G13" s="71" t="n"/>
      <c r="H13" s="71" t="n"/>
      <c r="I13" s="71" t="n"/>
    </row>
    <row r="14" ht="30" customHeight="1" s="43">
      <c r="A14" s="81" t="n">
        <v>46293</v>
      </c>
      <c r="B14" s="72" t="inlineStr">
        <is>
          <t>BUILD</t>
        </is>
      </c>
      <c r="C14" s="72" t="inlineStr">
        <is>
          <t>PfA — ASDAN LI</t>
        </is>
      </c>
      <c r="D14" s="72" t="inlineStr">
        <is>
          <t>Everyday prices: I can estimate and compare the cost of essentials (links Numeracy).</t>
        </is>
      </c>
      <c r="E14" s="72" t="inlineStr">
        <is>
          <t>LI portfolio: challenge evidence + skills grid</t>
        </is>
      </c>
      <c r="F14" s="72" t="n"/>
      <c r="G14" s="72" t="n"/>
      <c r="H14" s="72" t="n"/>
      <c r="I14" s="72" t="n"/>
    </row>
    <row r="15" ht="25.5" customHeight="1" s="43">
      <c r="A15" s="80" t="n">
        <v>46293</v>
      </c>
      <c r="B15" s="71" t="inlineStr">
        <is>
          <t>BUILD</t>
        </is>
      </c>
      <c r="C15" s="71" t="inlineStr">
        <is>
          <t>PfA — ASDAN FoodWise</t>
        </is>
      </c>
      <c r="D15" s="71" t="inlineStr">
        <is>
          <t>Practical: I can make a healthy snack hygienically (photo + self-check).</t>
        </is>
      </c>
      <c r="E15" s="71" t="inlineStr">
        <is>
          <t>FoodWise portfolio: challenge evidence + photos</t>
        </is>
      </c>
      <c r="F15" s="71" t="n"/>
      <c r="G15" s="71" t="n"/>
      <c r="H15" s="71" t="n"/>
      <c r="I15" s="71" t="n"/>
    </row>
    <row r="16" ht="25.5" customHeight="1" s="43">
      <c r="A16" s="72" t="n"/>
      <c r="B16" s="72" t="n"/>
      <c r="C16" s="72" t="n"/>
      <c r="D16" s="72" t="n"/>
      <c r="E16" s="72" t="n"/>
      <c r="F16" s="72" t="n"/>
      <c r="G16" s="72" t="n"/>
      <c r="H16" s="72" t="n"/>
      <c r="I16" s="72" t="n"/>
    </row>
    <row r="17" ht="25.5" customHeight="1" s="43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</row>
    <row r="18" ht="25.5" customHeight="1" s="43">
      <c r="A18" s="72" t="n"/>
      <c r="B18" s="72" t="n"/>
      <c r="C18" s="72" t="n"/>
      <c r="D18" s="72" t="n"/>
      <c r="E18" s="72" t="n"/>
      <c r="F18" s="72" t="n"/>
      <c r="G18" s="72" t="n"/>
      <c r="H18" s="72" t="n"/>
      <c r="I18" s="72" t="n"/>
    </row>
    <row r="19" ht="25.5" customHeight="1" s="43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</row>
    <row r="20" ht="25.5" customHeight="1" s="43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</row>
    <row r="21" ht="25.5" customHeight="1" s="43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</row>
    <row r="22" ht="25.5" customHeight="1" s="43"/>
    <row r="23" ht="25.5" customHeight="1" s="43">
      <c r="C23" s="82" t="inlineStr">
        <is>
          <t>This sheet:</t>
        </is>
      </c>
      <c r="D23" s="83">
        <f>COUNTIF($F$8:$F$18,"Green")</f>
        <v/>
      </c>
      <c r="E23" s="84">
        <f>COUNTIF($F$8:$F$18,"Amber")</f>
        <v/>
      </c>
      <c r="F23" s="85">
        <f>COUNTIF($F$8:$F$18,"Red")</f>
        <v/>
      </c>
    </row>
    <row r="24" ht="25.5" customHeight="1" s="43">
      <c r="D24" s="86" t="inlineStr">
        <is>
          <t>Green</t>
        </is>
      </c>
      <c r="E24" s="86" t="inlineStr">
        <is>
          <t>Amber</t>
        </is>
      </c>
      <c r="F24" s="86" t="inlineStr">
        <is>
          <t>Red</t>
        </is>
      </c>
    </row>
    <row r="25" ht="25.5" customHeight="1" s="43"/>
    <row r="26" ht="25.5" customHeight="1" s="43"/>
  </sheetData>
  <mergeCells count="5">
    <mergeCell ref="A2:I2"/>
    <mergeCell ref="B3:C3"/>
    <mergeCell ref="A1:I1"/>
    <mergeCell ref="E3:F3"/>
    <mergeCell ref="H3:I3"/>
  </mergeCells>
  <conditionalFormatting sqref="F6:F26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3" text="" percent="0" bottom="0">
      <formula>"Amber"</formula>
    </cfRule>
    <cfRule type="cellIs" rank="0" priority="4" equalAverage="0" operator="equal" aboveAverage="0" dxfId="4" text="" percent="0" bottom="0">
      <formula>"Red"</formula>
    </cfRule>
  </conditionalFormatting>
  <dataValidations count="4">
    <dataValidation sqref="B6:B26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C6:C26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F6:F26" showDropDown="0" showInputMessage="0" showErrorMessage="0" allowBlank="1" errorTitle="Choose from the list" error="Pick a value from the list." type="list" errorStyle="stop" operator="between">
      <formula1>"Green,Amber,Red"</formula1>
      <formula2>0</formula2>
    </dataValidation>
    <dataValidation sqref="H6:H26" showDropDown="0" showInputMessage="0" showErrorMessage="0" allowBlank="1" errorTitle="Choose from the list" error="Pick a value from the list." type="list" errorStyle="stop" operator="between">
      <formula1>"Achieved (move on),Revisit in class,Intervention"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2026-06-22T07:46:21Z</dcterms:created>
  <dcterms:modified xsi:type="dcterms:W3CDTF">2026-07-29T16:31:01Z</dcterms:modified>
  <cp:lastModifiedBy>Helen Stewart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0x0101002C6E38C4B2056147BFEE88C7F682B392</vt:lpwstr>
  </property>
  <property name="MediaServiceImageTags" fmtid="{D5CDD505-2E9C-101B-9397-08002B2CF9AE}" pid="3">
    <vt:lpwstr/>
  </property>
</Properties>
</file>