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name="Weekly Plan" sheetId="1" state="visible" r:id="rId1"/>
    <sheet name="Students" sheetId="2" state="visible" r:id="rId2"/>
    <sheet name="Outcomes RAG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yyyy\-mm\-dd\ h:mm:ss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color rgb="FF566159"/>
      <sz val="10"/>
    </font>
    <font>
      <name val="Arial"/>
      <charset val="1"/>
      <family val="0"/>
      <b val="1"/>
      <color rgb="FF566159"/>
      <sz val="9"/>
    </font>
    <font>
      <name val="Arial"/>
      <charset val="1"/>
      <family val="0"/>
      <b val="1"/>
      <color rgb="FF1B2420"/>
      <sz val="10"/>
    </font>
    <font>
      <name val="Arial"/>
      <charset val="1"/>
      <family val="0"/>
      <b val="1"/>
      <color rgb="FF2E7D4F"/>
      <sz val="10"/>
    </font>
    <font>
      <name val="Arial"/>
      <charset val="1"/>
      <family val="0"/>
      <color rgb="FF2E2A5D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B2420"/>
      <sz val="9"/>
    </font>
    <font>
      <name val="Arial"/>
      <charset val="1"/>
      <family val="2"/>
      <color rgb="FF000000"/>
      <sz val="9"/>
    </font>
    <font>
      <name val="Arial"/>
      <charset val="1"/>
      <family val="0"/>
      <color rgb="FF1B2420"/>
      <sz val="9"/>
    </font>
    <font>
      <name val="Arial"/>
      <charset val="1"/>
      <family val="2"/>
      <color rgb="FF1B2420"/>
      <sz val="9"/>
    </font>
    <font>
      <name val="Aptos"/>
      <charset val="1"/>
      <family val="2"/>
      <color rgb="FF222222"/>
      <sz val="9"/>
    </font>
    <font>
      <name val="Arial"/>
      <charset val="1"/>
      <family val="0"/>
      <i val="1"/>
      <color rgb="FF566159"/>
      <sz val="8"/>
    </font>
    <font>
      <name val="Arial"/>
      <charset val="1"/>
      <family val="0"/>
      <b val="1"/>
      <color rgb="FFFFFFFF"/>
      <sz val="16"/>
    </font>
    <font>
      <name val="Arial"/>
      <charset val="1"/>
      <family val="2"/>
      <b val="1"/>
      <color rgb="FFFFFFFF"/>
      <sz val="16"/>
    </font>
    <font>
      <name val="Arial"/>
      <charset val="1"/>
      <family val="2"/>
      <sz val="10"/>
    </font>
    <font>
      <name val="Arial"/>
      <charset val="1"/>
      <family val="2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566159"/>
      <sz val="8"/>
    </font>
  </fonts>
  <fills count="10">
    <fill>
      <patternFill/>
    </fill>
    <fill>
      <patternFill patternType="gray125"/>
    </fill>
    <fill>
      <patternFill patternType="solid">
        <fgColor rgb="FFD6006E"/>
        <bgColor rgb="FF800080"/>
      </patternFill>
    </fill>
    <fill>
      <patternFill patternType="solid">
        <fgColor rgb="FFFBE3F0"/>
        <bgColor rgb="FFEFE9F2"/>
      </patternFill>
    </fill>
    <fill>
      <patternFill patternType="solid">
        <fgColor rgb="FFEFE9F2"/>
        <bgColor rgb="FFFBE3F0"/>
      </patternFill>
    </fill>
    <fill>
      <patternFill patternType="solid">
        <fgColor rgb="FFFFFFFF"/>
        <bgColor rgb="FFF4F7F3"/>
      </patternFill>
    </fill>
    <fill>
      <patternFill patternType="solid">
        <fgColor rgb="FFF4F7F3"/>
        <bgColor rgb="FFFFFFFF"/>
      </patternFill>
    </fill>
    <fill>
      <patternFill patternType="solid">
        <fgColor rgb="FF2E7D4F"/>
        <bgColor rgb="FF1F6F7A"/>
      </patternFill>
    </fill>
    <fill>
      <patternFill patternType="solid">
        <fgColor rgb="FFD9A227"/>
        <bgColor rgb="FFB8742A"/>
      </patternFill>
    </fill>
    <fill>
      <patternFill patternType="solid">
        <fgColor rgb="FFC0392B"/>
        <bgColor rgb="FF993366"/>
      </patternFill>
    </fill>
  </fills>
  <borders count="13">
    <border>
      <left/>
      <right/>
      <top/>
      <bottom/>
      <diagonal/>
    </border>
    <border>
      <left/>
      <right/>
      <top/>
      <bottom style="thin">
        <color rgb="FFC3CDC1"/>
      </bottom>
      <diagonal/>
    </border>
    <border>
      <left style="thin">
        <color rgb="FFC9C9D6"/>
      </left>
      <right style="thin">
        <color rgb="FFC9C9D6"/>
      </right>
      <top style="thin">
        <color rgb="FFC9C9D6"/>
      </top>
      <bottom style="thin">
        <color rgb="FFC9C9D6"/>
      </bottom>
      <diagonal/>
    </border>
    <border>
      <left style="thin">
        <color rgb="FFC3CDC1"/>
      </left>
      <right style="thin">
        <color rgb="FFC3CDC1"/>
      </right>
      <top style="thin">
        <color rgb="FFC3CDC1"/>
      </top>
      <bottom style="thin">
        <color rgb="FFC3CDC1"/>
      </bottom>
      <diagonal/>
    </border>
    <border>
      <left style="thin"/>
      <right style="thin"/>
      <top style="thin"/>
      <bottom style="thin"/>
      <diagonal/>
    </border>
    <border>
      <left/>
      <right/>
      <top style="thin">
        <color rgb="FFC9C9D6"/>
      </top>
      <bottom/>
      <diagonal/>
    </border>
    <border>
      <left/>
      <right style="thin">
        <color rgb="FFC9C9D6"/>
      </right>
      <top style="thin">
        <color rgb="FFC9C9D6"/>
      </top>
      <bottom/>
      <diagonal/>
    </border>
    <border>
      <left/>
      <right/>
      <top style="thin">
        <color rgb="FFC9C9D6"/>
      </top>
      <bottom style="thin">
        <color rgb="FFC9C9D6"/>
      </bottom>
      <diagonal/>
    </border>
    <border>
      <left/>
      <right style="thin">
        <color rgb="FFC9C9D6"/>
      </right>
      <top style="thin">
        <color rgb="FFC9C9D6"/>
      </top>
      <bottom style="thin">
        <color rgb="FFC9C9D6"/>
      </bottom>
      <diagonal/>
    </border>
    <border>
      <left/>
      <right/>
      <top style="thin">
        <color rgb="FFC3CDC1"/>
      </top>
      <bottom/>
      <diagonal/>
    </border>
    <border>
      <left/>
      <right style="thin">
        <color rgb="FFC3CDC1"/>
      </right>
      <top style="thin">
        <color rgb="FFC3CDC1"/>
      </top>
      <bottom/>
      <diagonal/>
    </border>
    <border>
      <left/>
      <right/>
      <top style="thin">
        <color rgb="FFC3CDC1"/>
      </top>
      <bottom style="thin">
        <color rgb="FFC3CDC1"/>
      </bottom>
      <diagonal/>
    </border>
    <border>
      <left/>
      <right style="thin">
        <color rgb="FFC3CDC1"/>
      </right>
      <top style="thin">
        <color rgb="FFC3CDC1"/>
      </top>
      <bottom style="thin">
        <color rgb="FFC3CDC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left" vertical="center"/>
    </xf>
    <xf numFmtId="0" fontId="9" fillId="4" borderId="2" applyAlignment="1" pivotButton="0" quotePrefix="0" xfId="0">
      <alignment horizontal="general" vertical="top" wrapText="1"/>
    </xf>
    <xf numFmtId="0" fontId="10" fillId="2" borderId="3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left" vertical="center" wrapText="1"/>
    </xf>
    <xf numFmtId="0" fontId="12" fillId="5" borderId="4" applyAlignment="1" pivotButton="0" quotePrefix="0" xfId="0">
      <alignment horizontal="general" vertical="bottom" wrapText="1"/>
    </xf>
    <xf numFmtId="0" fontId="13" fillId="5" borderId="3" applyAlignment="1" pivotButton="0" quotePrefix="0" xfId="0">
      <alignment horizontal="left" vertical="center" wrapText="1"/>
    </xf>
    <xf numFmtId="0" fontId="11" fillId="6" borderId="3" applyAlignment="1" pivotButton="0" quotePrefix="0" xfId="0">
      <alignment horizontal="left" vertical="center" wrapText="1"/>
    </xf>
    <xf numFmtId="0" fontId="13" fillId="6" borderId="3" applyAlignment="1" pivotButton="0" quotePrefix="0" xfId="0">
      <alignment horizontal="left" vertical="center" wrapText="1"/>
    </xf>
    <xf numFmtId="0" fontId="14" fillId="6" borderId="3" applyAlignment="1" pivotButton="0" quotePrefix="0" xfId="0">
      <alignment horizontal="left" vertical="center" wrapText="1"/>
    </xf>
    <xf numFmtId="0" fontId="15" fillId="5" borderId="4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left" vertical="center"/>
    </xf>
    <xf numFmtId="0" fontId="13" fillId="6" borderId="3" applyAlignment="1" pivotButton="0" quotePrefix="0" xfId="0">
      <alignment horizontal="general" vertical="top" wrapText="1"/>
    </xf>
    <xf numFmtId="0" fontId="14" fillId="6" borderId="3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/>
    </xf>
    <xf numFmtId="0" fontId="13" fillId="5" borderId="3" applyAlignment="1" pivotButton="0" quotePrefix="0" xfId="0">
      <alignment horizontal="left" vertical="top" wrapText="1"/>
    </xf>
    <xf numFmtId="0" fontId="0" fillId="5" borderId="3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164" fontId="11" fillId="5" borderId="3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5" borderId="3" applyAlignment="1" pivotButton="0" quotePrefix="0" xfId="0">
      <alignment horizontal="left" vertical="center" wrapText="1"/>
    </xf>
    <xf numFmtId="165" fontId="0" fillId="5" borderId="3" applyAlignment="1" pivotButton="0" quotePrefix="0" xfId="0">
      <alignment horizontal="left" vertical="center" wrapText="1"/>
    </xf>
    <xf numFmtId="165" fontId="0" fillId="6" borderId="3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21" fillId="7" borderId="0" applyAlignment="1" pivotButton="0" quotePrefix="0" xfId="0">
      <alignment horizontal="center" vertical="center"/>
    </xf>
    <xf numFmtId="0" fontId="21" fillId="8" borderId="0" applyAlignment="1" pivotButton="0" quotePrefix="0" xfId="0">
      <alignment horizontal="center" vertical="center"/>
    </xf>
    <xf numFmtId="0" fontId="21" fillId="9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0" fillId="0" borderId="1" pivotButton="0" quotePrefix="0" xfId="0"/>
    <xf numFmtId="164" fontId="7" fillId="0" borderId="1" applyAlignment="1" pivotButton="0" quotePrefix="0" xfId="0">
      <alignment horizontal="left" vertical="center"/>
    </xf>
    <xf numFmtId="0" fontId="9" fillId="4" borderId="2" applyAlignment="1" pivotButton="0" quotePrefix="0" xfId="0">
      <alignment horizontal="general" vertical="top" wrapText="1"/>
    </xf>
    <xf numFmtId="0" fontId="0" fillId="0" borderId="7" pivotButton="0" quotePrefix="0" xfId="0"/>
    <xf numFmtId="0" fontId="0" fillId="0" borderId="8" pivotButton="0" quotePrefix="0" xfId="0"/>
    <xf numFmtId="0" fontId="10" fillId="2" borderId="3" applyAlignment="1" pivotButton="0" quotePrefix="0" xfId="0">
      <alignment horizontal="center" vertical="center" wrapText="1"/>
    </xf>
    <xf numFmtId="0" fontId="11" fillId="5" borderId="3" applyAlignment="1" pivotButton="0" quotePrefix="0" xfId="0">
      <alignment horizontal="left" vertical="center" wrapText="1"/>
    </xf>
    <xf numFmtId="0" fontId="12" fillId="5" borderId="4" applyAlignment="1" pivotButton="0" quotePrefix="0" xfId="0">
      <alignment horizontal="general" vertical="bottom" wrapText="1"/>
    </xf>
    <xf numFmtId="0" fontId="13" fillId="5" borderId="3" applyAlignment="1" pivotButton="0" quotePrefix="0" xfId="0">
      <alignment horizontal="left" vertical="center" wrapText="1"/>
    </xf>
    <xf numFmtId="0" fontId="11" fillId="6" borderId="3" applyAlignment="1" pivotButton="0" quotePrefix="0" xfId="0">
      <alignment horizontal="left" vertical="center" wrapText="1"/>
    </xf>
    <xf numFmtId="0" fontId="13" fillId="6" borderId="3" applyAlignment="1" pivotButton="0" quotePrefix="0" xfId="0">
      <alignment horizontal="left" vertical="center" wrapText="1"/>
    </xf>
    <xf numFmtId="0" fontId="14" fillId="6" borderId="3" applyAlignment="1" pivotButton="0" quotePrefix="0" xfId="0">
      <alignment horizontal="left" vertical="center" wrapText="1"/>
    </xf>
    <xf numFmtId="0" fontId="15" fillId="5" borderId="4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left" vertical="center"/>
    </xf>
    <xf numFmtId="0" fontId="13" fillId="6" borderId="3" applyAlignment="1" pivotButton="0" quotePrefix="0" xfId="0">
      <alignment horizontal="general" vertical="top" wrapText="1"/>
    </xf>
    <xf numFmtId="0" fontId="0" fillId="0" borderId="11" pivotButton="0" quotePrefix="0" xfId="0"/>
    <xf numFmtId="0" fontId="0" fillId="0" borderId="12" pivotButton="0" quotePrefix="0" xfId="0"/>
    <xf numFmtId="0" fontId="14" fillId="6" borderId="3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/>
    </xf>
    <xf numFmtId="0" fontId="13" fillId="5" borderId="3" applyAlignment="1" pivotButton="0" quotePrefix="0" xfId="0">
      <alignment horizontal="left" vertical="top" wrapText="1"/>
    </xf>
    <xf numFmtId="0" fontId="0" fillId="5" borderId="3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left" vertical="center" wrapText="1"/>
    </xf>
    <xf numFmtId="0" fontId="18" fillId="2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 vertical="center"/>
    </xf>
    <xf numFmtId="164" fontId="11" fillId="5" borderId="3" applyAlignment="1" pivotButton="0" quotePrefix="0" xfId="0">
      <alignment horizontal="left" vertical="center" wrapText="1"/>
    </xf>
    <xf numFmtId="165" fontId="0" fillId="5" borderId="3" applyAlignment="1" pivotButton="0" quotePrefix="0" xfId="0">
      <alignment horizontal="left" vertical="center" wrapText="1"/>
    </xf>
    <xf numFmtId="165" fontId="0" fillId="6" borderId="3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21" fillId="7" borderId="0" applyAlignment="1" pivotButton="0" quotePrefix="0" xfId="0">
      <alignment horizontal="center" vertical="center"/>
    </xf>
    <xf numFmtId="0" fontId="21" fillId="8" borderId="0" applyAlignment="1" pivotButton="0" quotePrefix="0" xfId="0">
      <alignment horizontal="center" vertical="center"/>
    </xf>
    <xf numFmtId="0" fontId="21" fillId="9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ont>
        <name val="Arial"/>
        <charset val="1"/>
        <family val="0"/>
        <b val="1"/>
        <color rgb="FFFFFFFF"/>
      </font>
      <fill>
        <patternFill>
          <bgColor rgb="FF2E7D4F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B8742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1F6F7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D9A227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392B"/>
        </patternFill>
      </fill>
    </dxf>
  </dxfs>
  <colors>
    <indexedColors>
      <rgbColor rgb="FF000000"/>
      <rgbColor rgb="FFFFFFFF"/>
      <rgbColor rgb="FFD6006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42A"/>
      <rgbColor rgb="FF800080"/>
      <rgbColor rgb="FF1F6F7A"/>
      <rgbColor rgb="FFC3CDC1"/>
      <rgbColor rgb="FF808080"/>
      <rgbColor rgb="FF9999FF"/>
      <rgbColor rgb="FF993366"/>
      <rgbColor rgb="FFF4F7F3"/>
      <rgbColor rgb="FFEFE9F2"/>
      <rgbColor rgb="FF660066"/>
      <rgbColor rgb="FFFF8080"/>
      <rgbColor rgb="FF0066CC"/>
      <rgbColor rgb="FFC9C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F0"/>
      <rgbColor rgb="FF3366FF"/>
      <rgbColor rgb="FF33CCCC"/>
      <rgbColor rgb="FF99CC00"/>
      <rgbColor rgb="FFFFCC00"/>
      <rgbColor rgb="FFD9A227"/>
      <rgbColor rgb="FFFF6600"/>
      <rgbColor rgb="FF566159"/>
      <rgbColor rgb="FF969696"/>
      <rgbColor rgb="FF003366"/>
      <rgbColor rgb="FF2E7D4F"/>
      <rgbColor rgb="FF1B2420"/>
      <rgbColor rgb="FF222222"/>
      <rgbColor rgb="FFC0392B"/>
      <rgbColor rgb="FF993366"/>
      <rgbColor rgb="FF333399"/>
      <rgbColor rgb="FF2E2A5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D6006E"/>
    <outlinePr summaryBelow="1" summaryRight="1"/>
    <pageSetUpPr fitToPage="0"/>
  </sheetPr>
  <dimension ref="A1:J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9" topLeftCell="A11" activePane="bottomLeft" state="frozen"/>
      <selection pane="topLeft" activeCell="A1" activeCellId="0" sqref="A1"/>
      <selection pane="bottomLeft" activeCell="C11" activeCellId="0" sqref="C11"/>
    </sheetView>
  </sheetViews>
  <sheetFormatPr baseColWidth="8" defaultColWidth="8.5625" defaultRowHeight="14.25" zeroHeight="0" outlineLevelRow="0"/>
  <cols>
    <col width="18" customWidth="1" style="41" min="1" max="1"/>
    <col width="20" customWidth="1" style="41" min="2" max="2"/>
    <col width="26" customWidth="1" style="41" min="3" max="4"/>
    <col width="16" customWidth="1" style="41" min="5" max="5"/>
    <col width="20" customWidth="1" style="41" min="6" max="6"/>
    <col width="10" customWidth="1" style="41" min="7" max="7"/>
    <col width="26" customWidth="1" style="41" min="8" max="8"/>
    <col width="22" customWidth="1" style="41" min="9" max="10"/>
  </cols>
  <sheetData>
    <row r="1" ht="30" customHeight="1" s="42">
      <c r="A1" s="43" t="inlineStr">
        <is>
          <t>Weekly Planner - To be submitted to Head of School prior to the start of each Half-Term</t>
        </is>
      </c>
    </row>
    <row r="2" ht="14.25" customHeight="1" s="42">
      <c r="A2" s="44" t="inlineStr">
        <is>
          <t>Progress Schools  ·  linked to the 2026/27 Schemes of Work</t>
        </is>
      </c>
    </row>
    <row r="3"/>
    <row r="4" ht="19.5" customHeight="1" s="42">
      <c r="A4" s="45" t="inlineStr">
        <is>
          <t>Pathway</t>
        </is>
      </c>
      <c r="B4" s="46" t="inlineStr">
        <is>
          <t>BUILD</t>
        </is>
      </c>
      <c r="D4" s="41" t="n">
        <v>6</v>
      </c>
      <c r="F4" s="45" t="inlineStr">
        <is>
          <t>Week no.</t>
        </is>
      </c>
      <c r="G4" s="46" t="n">
        <v>6</v>
      </c>
    </row>
    <row r="5" ht="19.5" customHeight="1" s="42">
      <c r="A5" s="45" t="inlineStr">
        <is>
          <t>Term</t>
        </is>
      </c>
      <c r="B5" s="46" t="inlineStr">
        <is>
          <t>Autumn</t>
        </is>
      </c>
      <c r="F5" s="45" t="inlineStr">
        <is>
          <t>Group / class</t>
        </is>
      </c>
      <c r="G5" s="46" t="n"/>
    </row>
    <row r="6" ht="19.5" customHeight="1" s="42">
      <c r="A6" s="45" t="inlineStr">
        <is>
          <t>Theme</t>
        </is>
      </c>
      <c r="B6" s="47">
        <f>IF(B5="Autumn","Identity &amp; Belonging",IF(B5="Spring","Resilience &amp; Change",IF(B5="Summer","Our World, My Future","pick a term")))</f>
        <v/>
      </c>
      <c r="C6" s="48" t="n"/>
      <c r="D6" s="48" t="n"/>
      <c r="F6" s="45" t="inlineStr">
        <is>
          <t>Teacher</t>
        </is>
      </c>
      <c r="G6" s="46" t="n"/>
    </row>
    <row r="7" ht="19.5" customHeight="1" s="42">
      <c r="A7" s="45" t="inlineStr">
        <is>
          <t>Week commencing</t>
        </is>
      </c>
      <c r="B7" s="49" t="n">
        <v>46300</v>
      </c>
      <c r="F7" s="45" t="inlineStr">
        <is>
          <t>Reviewed by</t>
        </is>
      </c>
      <c r="G7" s="46" t="n"/>
    </row>
    <row r="8" ht="45.75" customHeight="1" s="42">
      <c r="A8" s="50" t="inlineStr">
        <is>
          <t>SMSC/BV this week: BHM continues — Build PSHE's stereotype work and English's identity poem land squarely in it.  World Mental Health Day Sat 10 Oct — observe Fri 9; ⚠ handle with care (§8.4: advance flag, opt-out, known-adult check-in — SEMH cohort) — assembly-led, classroom framing kept light.</t>
        </is>
      </c>
      <c r="B8" s="51" t="n"/>
      <c r="C8" s="51" t="n"/>
      <c r="D8" s="51" t="n"/>
      <c r="E8" s="51" t="n"/>
      <c r="F8" s="51" t="n"/>
      <c r="G8" s="51" t="n"/>
      <c r="H8" s="51" t="n"/>
      <c r="I8" s="51" t="n"/>
      <c r="J8" s="52" t="n"/>
    </row>
    <row r="9" ht="30" customHeight="1" s="42">
      <c r="A9" s="53" t="inlineStr">
        <is>
          <t>Subject</t>
        </is>
      </c>
      <c r="B9" s="53" t="inlineStr">
        <is>
          <t>SoW unit (this term)</t>
        </is>
      </c>
      <c r="C9" s="53" t="inlineStr">
        <is>
          <t>This week's outcome</t>
        </is>
      </c>
      <c r="D9" s="53" t="inlineStr">
        <is>
          <t>Activities</t>
        </is>
      </c>
      <c r="E9" s="53" t="inlineStr">
        <is>
          <t>Key vocabulary</t>
        </is>
      </c>
      <c r="F9" s="53" t="inlineStr">
        <is>
          <t>Resources required</t>
        </is>
      </c>
      <c r="G9" s="53" t="inlineStr">
        <is>
          <t>Assess. (F/S)</t>
        </is>
      </c>
      <c r="H9" s="53" t="inlineStr">
        <is>
          <t>Student adaptations</t>
        </is>
      </c>
      <c r="I9" s="53" t="inlineStr">
        <is>
          <t>Classroom support</t>
        </is>
      </c>
      <c r="J9" s="53" t="inlineStr">
        <is>
          <t>Evaluation (after teaching)</t>
        </is>
      </c>
    </row>
    <row r="10" ht="45.75" customHeight="1" s="42">
      <c r="A10" s="54" t="inlineStr">
        <is>
          <t>English</t>
        </is>
      </c>
      <c r="B10" s="55" t="inlineStr">
        <is>
          <t>Identity &amp; Belonging: writing a clear paragraph about myself</t>
        </is>
      </c>
      <c r="C10" s="55" t="inlineStr">
        <is>
          <t>I can write a clear paragraph about my skills, interests and goals.</t>
        </is>
      </c>
      <c r="D10" s="55" t="inlineStr">
        <is>
          <t>Arrival: fix 3 sentences → model a short paragraph → plan: skill, interest, goal → write one paragraph → proofread capital letters/full stops.</t>
        </is>
      </c>
      <c r="E10" s="55" t="inlineStr">
        <is>
          <t>paragraph, skill, interest, goal, reason, proofread</t>
        </is>
      </c>
      <c r="F10" s="55" t="inlineStr">
        <is>
          <t>Model paragraph; planning grid; proofreading checklist; vocabulary mat.</t>
        </is>
      </c>
      <c r="G10" s="56" t="inlineStr">
        <is>
          <t>F</t>
        </is>
      </c>
      <c r="H10" s="55" t="inlineStr">
        <is>
          <t>Cloze paragraph option; sentence starters; typing/scribe option; spelling bank.</t>
        </is>
      </c>
      <c r="I10" s="55" t="inlineStr">
        <is>
          <t>TA helps students orally rehearse before writing. Teacher marks one accuracy target.</t>
        </is>
      </c>
      <c r="J10" s="55" t="inlineStr">
        <is>
          <t>Record writing accuracy and next SPaG focus.</t>
        </is>
      </c>
    </row>
    <row r="11" ht="330" customHeight="1" s="42">
      <c r="A11" s="57" t="inlineStr">
        <is>
          <t>Maths</t>
        </is>
      </c>
      <c r="B11" s="58" t="inlineStr">
        <is>
          <t>Number, calculation &amp; fractions (Y5/6)</t>
        </is>
      </c>
      <c r="C11" s="58" t="inlineStr">
        <is>
          <t>I can use formal written methods to multiply 4-digit numbers by 1-digit and 2-digit numbers accurately.</t>
        </is>
      </c>
      <c r="D11" s="59" t="inlineStr">
        <is>
          <t>Review multiplication facts.
Teacher modelling of formal methods.
Guided multiplication practice.
Error analysis activities.
Functional problem-solving tasks.</t>
        </is>
      </c>
      <c r="E11" s="59" t="inlineStr">
        <is>
          <t>Multiply
Product
Exchange
Column method
Partial product
Calculate
Estimate</t>
        </is>
      </c>
      <c r="F11" s="59" t="inlineStr">
        <is>
          <t>Multiplication grids
Whiteboards
Worksheets
Calculators for checking</t>
        </is>
      </c>
      <c r="G11" s="58" t="inlineStr">
        <is>
          <t>F</t>
        </is>
      </c>
      <c r="H11" s="59" t="inlineStr">
        <is>
          <t>Begin with 2-digit × 1-digit.
Structured multiplication templates.
Visual supports.
Challenge with reasoning and larger calculations.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      </is>
      </c>
      <c r="I11" s="59" t="inlineStr">
        <is>
          <t>Step-by-step modelling.
Guided groups.
Individual feedback.</t>
        </is>
      </c>
      <c r="J11" s="58" t="inlineStr">
        <is>
          <t>Independent multiplication assessment.
Teacher observation.
Marked work.
Reasoning questions.</t>
        </is>
      </c>
    </row>
    <row r="12" ht="339.75" customHeight="1" s="42">
      <c r="A12" s="54" t="inlineStr">
        <is>
          <t>Science</t>
        </is>
      </c>
      <c r="B12" s="56" t="inlineStr">
        <is>
          <t>White Rose Science Year 3 - Aut1·W6</t>
        </is>
      </c>
      <c r="C12" s="60" t="inlineStr">
        <is>
          <t>I can sort foods into groups and describe what balance means.</t>
        </is>
      </c>
      <c r="D12" s="56" t="inlineStr">
        <is>
          <t>v5 whiteboard deck 'Building a Balanced Plate': Name the groups; Sort eight foods; Describe balance. Runs across BOTH weekly 40-min periods: Period 1 → up to We Do 2; Period 2 = extended Independent Work → Lundy → Exit, where the practical and the Assessor Witness evidence are made. One print pack covers both periods.</t>
        </is>
      </c>
      <c r="E12" s="56" t="inlineStr">
        <is>
          <t>food group, balanced, everyday, sometimes</t>
        </is>
      </c>
      <c r="F12" s="56" t="inlineStr">
        <is>
          <t>Science_Teesside/Build/SCI_B_W6_Balanced_Plate.html (3-tier print pack off the title slide)</t>
        </is>
      </c>
      <c r="G12" s="56" t="inlineStr">
        <is>
          <t>F</t>
        </is>
      </c>
      <c r="H12" s="56" t="inlineStr">
        <is>
          <t>Tiered 3 ways (Supported/Standard/Stretch) at arrival, independent work and exit. Bodies and food are personal. Teach every idea on the model, the diagram or the picture card - never on a pupil's own body, and never on what a pupil has eaten. If a pupil steps out, the diagram waits for them.</t>
        </is>
      </c>
      <c r="I12" s="56" t="inlineStr">
        <is>
          <t>TA runs the hoop sort. Teacher keeps the plant on the desk all three nutrition weeks as the constant reference. LOOP [Feedback Policy]: Voice = sort/point/say [VF, ?] → Audience: say who must eat; [R] once received → EVIDENCE: hoop-sort photo, upload same day [E: science — daily evidence platform; banks ELC 8939].</t>
        </is>
      </c>
      <c r="J12" s="56" t="inlineStr">
        <is>
          <t>Note who over-extends 'eating' to plants.  → Influence: this is the foundation for W7's balanced diet — do not move on if the sort is insecure [NS].</t>
        </is>
      </c>
    </row>
    <row r="13" ht="330" customHeight="1" s="42">
      <c r="A13" s="57" t="inlineStr">
        <is>
          <t>PSHE / RSE</t>
        </is>
      </c>
      <c r="B13" s="58" t="inlineStr">
        <is>
          <t>Identity, rights &amp; British values (PSHE Association KS3, adapted) · AQA UAS 'Rights &amp; responsibilities' · ladders toward Grow PSHE · SoW Aut1·W6</t>
        </is>
      </c>
      <c r="C13" s="58" t="inlineStr">
        <is>
          <t>I can spot a stereotype and disagree respectfully.</t>
        </is>
      </c>
      <c r="D13" s="58" t="inlineStr">
        <is>
          <t>Zones check-in settles the session.  'Guess who' reveals — profiles that defy assumptions (jobs, hobbies, backgrounds) → human barometer: agree/disagree statements walked, with respectful-disagreement stems practised ALOUD ('I see it differently because…') → make a split-image 'don't judge' poster or a 10-sec video → exit: use a stem for real, once.  EVIDENCE: poster/video + barometer photos (banks AQA UAS).  Links BHM and the Humanities migration unit.  GROW STRETCH: 'Going for Grow' card — where do stereotypes come from?</t>
        </is>
      </c>
      <c r="E13" s="58" t="inlineStr">
        <is>
          <t>stereotype, assume, judge, respect, disagree, opinion, fair</t>
        </is>
      </c>
      <c r="F13" s="58" t="inlineStr">
        <is>
          <t>Guess-who profile cards; barometer line + statements; split-image poster kits / phone for videos; stem cards; camera.</t>
        </is>
      </c>
      <c r="G13" s="58" t="inlineStr">
        <is>
          <t>F</t>
        </is>
      </c>
      <c r="H13" s="58" t="inlineStr">
        <is>
          <t>Tiered 3 ways at every step — scaffold, task version and evidence prompt (symbol-supported → sentence-stem → independent): same outcome, different rung. Hands-on route first; easy-read/symbol resources; chunked steps with modelling; movement built into every session.  Statements pre-screened; walking replaces debating on the first rung; the stem card is carried, not memorised.  ⚠ World Mental Health Day Friday — keep framing light, opt-outs live.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      </is>
      </c>
      <c r="I13" s="58" t="inlineStr">
        <is>
          <t>TA walks the barometer alongside and models the stem first.  LOOP [Feedback Policy]: Voice = walk/stem/make [VF] → Audience: name the respectful move back; [R] when a stem is used for real → EVIDENCE: poster/video, same day [E: BV mutual respect — daily evidence platform; banks AQA UAS].</t>
        </is>
      </c>
      <c r="J13" s="58" t="inlineStr">
        <is>
          <t>Influence: stem use in real disagreements is the win — track it across the week, not just the lesson [NS].</t>
        </is>
      </c>
    </row>
    <row r="14" ht="330" customHeight="1" s="42">
      <c r="A14" s="54" t="inlineStr">
        <is>
          <t>RE</t>
        </is>
      </c>
      <c r="B14" s="56" t="inlineStr">
        <is>
          <t>Belief, festivals &amp; belonging (Kapow + RE, adapted) · ladders toward Grow RE · SoW Aut1·W6</t>
        </is>
      </c>
      <c r="C14" s="60" t="inlineStr">
        <is>
          <t>I can spot what our three festivals of light share.</t>
        </is>
      </c>
      <c r="D14" s="56" t="inlineStr">
        <is>
          <t>Festival face-off (respectful!) — giant floor grid, rows: light / story / food / values; teams place photo cards from Diwali, Hanukkah and Christmas into the right cells — every card labelled by NAME and symbol, never colour alone → stand back: say the sames out loud ('they all have…') → build the shared Festivals-of-Light display from three weeks of makes and photos → exit: one same + one different.  EVIDENCE: completed grid + display photos.  GROW STRETCH: 'Going for Grow' card — why might LIGHT matter to so many faiths?</t>
        </is>
      </c>
      <c r="E14" s="56" t="inlineStr">
        <is>
          <t>compare, same, different, festival, light, story, values, respect</t>
        </is>
      </c>
      <c r="F14" s="56" t="inlineStr">
        <is>
          <t>Giant floor grid; labelled photo cards from W3–5; the three weeks' makes; display wall space; camera.</t>
        </is>
      </c>
      <c r="G14" s="56" t="inlineStr">
        <is>
          <t>F</t>
        </is>
      </c>
      <c r="H14" s="56" t="inlineStr">
        <is>
          <t>Tiered 3 ways at every step — scaffold, task version and evidence prompt (symbol-supported → sentence-stem → independent): same outcome, different rung. Hands-on route first; easy-read/symbol resources; chunked steps with modelling; movement built into every session.  Placing cards IS the comparing; 'they all have light' is a full first-rung answer; teams mixed so no pupil places alone.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      </is>
      </c>
      <c r="I14" s="56" t="inlineStr">
        <is>
          <t>TA referees placements and captures the sames said aloud.  LOOP [Feedback Policy]: Voice = place/say a same [VF, ?] → Audience: name the comparison back; [R] once received → EVIDENCE: grid photo + display, same day [E: cultural — daily evidence platform].</t>
        </is>
      </c>
      <c r="J14" s="56" t="inlineStr">
        <is>
          <t>Influence: the grid is the W8 showcase centrepiece — photograph before it's dismantled; note who compares unprompted [NS].</t>
        </is>
      </c>
    </row>
    <row r="15" ht="330" customHeight="1" s="42">
      <c r="A15" s="57" t="inlineStr">
        <is>
          <t>Humanities</t>
        </is>
      </c>
      <c r="B15" s="58" t="inlineStr">
        <is>
          <t>Migration &amp; identity in Britain (Kapow History, adapted) · NC KS2, supported · AQA UAS 'History around us' · ladders toward Grow Humanities · SoW Aut1·W6</t>
        </is>
      </c>
      <c r="C15" s="60" t="inlineStr">
        <is>
          <t>I can plan a short migration story using two of our sources.</t>
        </is>
      </c>
      <c r="D15" s="56" t="inlineStr">
        <is>
          <t>Arrival: order a jumbled 3-part story — beginning / middle / end picture strips → model 'First… Then… This meant…' with one source from the case files → we do: plan the first two boxes together using the class sources → you do: complete a picture-supported 3-box storyboard, choosing 2 sources from Weeks 2–4 (suitcase, photos, profile cards) → exit: read or say your first box to the TA.  EVIDENCE: the storyboard (banks AQA UAS).  GROW STRETCH: 'Going for Grow' card — add WHY your sources fit the story.</t>
        </is>
      </c>
      <c r="E15" s="56" t="inlineStr">
        <is>
          <t>story, plan, first, then, meant, source, beginning, end</t>
        </is>
      </c>
      <c r="F15" s="56" t="inlineStr">
        <is>
          <t>Jumbled story strips; 3-box storyboards; the term's source bank (W2–4 materials); glue/scribe support; camera.</t>
        </is>
      </c>
      <c r="G15" s="56" t="inlineStr">
        <is>
          <t>F</t>
        </is>
      </c>
      <c r="H15" s="56" t="inlineStr">
        <is>
          <t>Tiered 3 ways at every step — scaffold, task version and evidence prompt (symbol-supported → sentence-stem → independent): same outcome, different rung. Hands-on route first; easy-read/symbol resources; chunked steps with modelling; movement built into every session.  Boxes are stuck from sources, not written; 'First… Then… This meant…' carried as a chant and a card; 2 boxes counts on the first rung.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      </is>
      </c>
      <c r="I15" s="56" t="inlineStr">
        <is>
          <t>TA chants the frame and scribes box captions.  LOOP [Feedback Policy]: Voice = order/stick/say box one [VF, ?] → Audience: name the story shape back; [R] once received → EVIDENCE: storyboard photo, same day [E: humanities — daily evidence platform; banks AQA UAS].</t>
        </is>
      </c>
      <c r="J15" s="56" t="inlineStr">
        <is>
          <t>Influence: the storyboard is the W7 script — store safely; note who chooses sources with a reason [NS].</t>
        </is>
      </c>
    </row>
    <row r="16" ht="330" customHeight="1" s="42">
      <c r="A16" s="54" t="inlineStr">
        <is>
          <t>Arts (Arts Award)</t>
        </is>
      </c>
      <c r="B16" s="56" t="inlineStr">
        <is>
          <t>Identity in art &amp; developing skills (Trinity Arts Award Explore, supported) · AQA UAS 'Creating artwork' · toward Explore completion → Bronze (Launch) · SoW Creative Arts</t>
        </is>
      </c>
      <c r="C16" s="60" t="inlineStr">
        <is>
          <t>I can find out about one artist and share a fact and a feeling.</t>
        </is>
      </c>
      <c r="D16" s="56" t="inlineStr">
        <is>
          <t>Arrival: 'which speaks to you?' — pick 1 of 3 projected works and point at why → model noting 1 fact + 1 feeling about an artist → we do: research one artist together (short video + big images) → you do: choose from a picture-supported artist menu (include a texture/installation artist and a light artist) and complete the log frame — stick the facts, record the feeling → exit: share your fact with a partner or the TA.  EVIDENCE: artist log page (Explore Part C).  GROW STRETCH: 'Going for Grow' card — add one opinion: do YOU rate them, and why?</t>
        </is>
      </c>
      <c r="E16" s="56" t="inlineStr">
        <is>
          <t>artist, fact, feeling, opinion, research, work, inspire</t>
        </is>
      </c>
      <c r="F16" s="56" t="inlineStr">
        <is>
          <t>Three projected works; artist videos + big images; picture-supported artist menu; log frames; talking tin; camera.</t>
        </is>
      </c>
      <c r="G16" s="56" t="inlineStr">
        <is>
          <t>F</t>
        </is>
      </c>
      <c r="H16" s="56" t="inlineStr">
        <is>
          <t>Tiered 3 ways at every step — scaffold, task version and evidence prompt (symbol-supported → sentence-stem → independent): same outcome, different rung. Hands-on route first; easy-read/symbol resources; chunked steps with modelling; movement built into every session.  Research is watched and handled, not read; facts stuck from a fact bank; the feeling can be a face + word.  Pupil B: texture-led artists in the menu.  Pupil A: choice of task &amp; seat, own table, quiet-space option, short 10–20-min goals, opt-out of group sharing. Pupil B: colourblind-safe — labels/patterns/position, never colour alone; movement; offer choice with a reason, not commands. Pupil C: fatigue-aware — soft re-entry after rest, TA checks understanding (he may tick at random), scribe/photo instead of writing. Pupil D: middle seat, fidget/scribble pad, short 10-min bursts, answer or visibly 'park' his questions.</t>
        </is>
      </c>
      <c r="I16" s="56" t="inlineStr">
        <is>
          <t>TA runs the video stations and records feelings.  LOOP [Feedback Policy]: Voice = choose/stick/record [VF] → Audience: listen fully, name the fact back, then [R] → EVIDENCE: log page = accreditation evidence, same day [E: Arts Award].</t>
        </is>
      </c>
      <c r="J16" s="56" t="inlineStr">
        <is>
          <t>Influence: Part C banked — flag gaps in any pupil's Explore evidence now, while W7–8 can still catch them [NS].</t>
        </is>
      </c>
    </row>
    <row r="17" ht="45.75" customHeight="1" s="42">
      <c r="A17" s="57" t="inlineStr">
        <is>
          <t>PE</t>
        </is>
      </c>
      <c r="B17" s="58" t="n"/>
      <c r="C17" s="58" t="n"/>
      <c r="D17" s="58" t="n"/>
      <c r="E17" s="58" t="n"/>
      <c r="F17" s="58" t="n"/>
      <c r="G17" s="58" t="n"/>
      <c r="H17" s="58" t="n"/>
      <c r="I17" s="58" t="n"/>
      <c r="J17" s="58" t="n"/>
    </row>
    <row r="18" ht="45.75" customHeight="1" s="42">
      <c r="A18" s="54" t="inlineStr">
        <is>
          <t>ASDAN PEQ (WellbLeE3)</t>
        </is>
      </c>
      <c r="B18" s="56" t="inlineStr">
        <is>
          <t>ASDAN PEQ · WellbLeE3 · Aut·W6 — E3.4 who and what supports me</t>
        </is>
      </c>
      <c r="C18" s="56" t="inlineStr">
        <is>
          <t>I can name people and things that support my learning.</t>
        </is>
      </c>
      <c r="D18" s="56" t="inlineStr">
        <is>
          <t>Arrival: 'my support hand' — five people/things around my hand. I DO: model my own. WE DO: name the adults in this room and what each helps with. YOU DO: complete your support hand; adult scribes; photo. E3.4 evidenced. LINK: doubles as the PSHE 'network of support' work — one activity, two subjects, one piece of evidence.</t>
        </is>
      </c>
      <c r="E18" s="56" t="inlineStr">
        <is>
          <t>support, help, adult, trusted, ask, network, people</t>
        </is>
      </c>
      <c r="F18" s="56" t="inlineStr">
        <is>
          <t>Support-hand template; staff photo cards; Evidence Binder; camera; PSHE network-of-support link.</t>
        </is>
      </c>
      <c r="G18" s="56" t="inlineStr">
        <is>
          <t>F</t>
        </is>
      </c>
      <c r="H18" s="56" t="inlineStr">
        <is>
          <t>Support-hand template pre-printed with staff photos to place, not names to write; service introduced concretely (visit/photo of school nurse) not abstractly</t>
        </is>
      </c>
      <c r="I18" s="56" t="inlineStr">
        <is>
          <t>TA helps assemble the support hand; teacher verifies every pupil names ONE person (E3.3.3) and ONE service (E3.3.4) — the spec minimums; doubles as PSHE network evidence</t>
        </is>
      </c>
      <c r="J18" s="56" t="n"/>
    </row>
    <row r="19" ht="45.75" customHeight="1" s="42">
      <c r="A19" s="54" t="inlineStr">
        <is>
          <t>Slot 1 · Careers (ASDAN)</t>
        </is>
      </c>
      <c r="B19" s="56" t="inlineStr">
        <is>
          <t>Careers &amp; world of work — strengths to jobs (evidences ASDAN Living Independently M8; AQA UAS)</t>
        </is>
      </c>
      <c r="C19" s="56" t="inlineStr">
        <is>
          <t>I can prepare and ask a question to a worker visitor.</t>
        </is>
      </c>
      <c r="D19" s="56" t="inlineStr">
        <is>
          <t>Question-building frames → visitor Q&amp;A (in person/virtual) → record one answer that surprised me.</t>
        </is>
      </c>
      <c r="E19" s="56" t="inlineStr">
        <is>
          <t>strength, skill, job, worker, employer, routine, profile, evidence</t>
        </is>
      </c>
      <c r="F19" s="56" t="inlineStr">
        <is>
          <t>Strength cards; local jobs photo bank; profile posters; visitor link. W1 lesson: BUILD_L1_Careers_Strengths.html (evidence print incl. Yellow Box/WWW-EBI footer).</t>
        </is>
      </c>
      <c r="G19" s="56" t="inlineStr">
        <is>
          <t>F</t>
        </is>
      </c>
      <c r="H19" s="56" t="inlineStr">
        <is>
          <t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      </is>
      </c>
      <c r="I19" s="56" t="inlineStr">
        <is>
          <t>TA runs paired talk with stems; scribes for reluctant writers (note “TA scribed”); champions Pupil A early and often.</t>
        </is>
      </c>
      <c r="J19" s="56" t="n"/>
    </row>
    <row r="20" ht="45.75" customHeight="1" s="42">
      <c r="A20" s="54" t="inlineStr">
        <is>
          <t>Slot 2 · Vocational / D&amp;T (ASDAN)</t>
        </is>
      </c>
      <c r="B20" s="56" t="inlineStr">
        <is>
          <t>D&amp;T via ASDAN tasters: kitchen skills → Textiles design-make-evaluate (Aut1); Construction from Aut2</t>
        </is>
      </c>
      <c r="C20" s="56" t="inlineStr">
        <is>
          <t>I can complete my make and finish the edges.</t>
        </is>
      </c>
      <c r="D20" s="56" t="inlineStr">
        <is>
          <t>Assembly completed → edges finished → in-progress photos for the design-make-evaluate record.</t>
        </is>
      </c>
      <c r="E20" s="56" t="inlineStr">
        <is>
          <t>tool, safety, hygiene, recipe, fabric, join, design, evaluate</t>
        </is>
      </c>
      <c r="F20" s="56" t="inlineStr">
        <is>
          <t>Kitchen + tools, PPE, recipe cards; fabrics &amp; fastenings. W1 lesson: BUILD_L1_Vocational_Kitchen_Induction.html.</t>
        </is>
      </c>
      <c r="G20" s="56" t="inlineStr">
        <is>
          <t>F</t>
        </is>
      </c>
      <c r="H20" s="56" t="inlineStr">
        <is>
          <t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      </is>
      </c>
      <c r="I20" s="56" t="inlineStr">
        <is>
          <t>TA runs safe-carry / wash-up stations; signs skill cards only when genuinely met; models every technique first.</t>
        </is>
      </c>
      <c r="J20" s="56" t="n"/>
    </row>
    <row r="21" ht="45.75" customHeight="1" s="42">
      <c r="A21" s="54" t="inlineStr">
        <is>
          <t>Slot 3 · PfA — ASDAN Living Independently</t>
        </is>
      </c>
      <c r="B21" s="56" t="inlineStr">
        <is>
          <t>ASDAN LI — M1 Earning &amp; Spending Money (Aut1) → M2 Keeping Track of Your Money (Aut2); Section A: 4 challenges over ~10 hrs = 1 credit per module</t>
        </is>
      </c>
      <c r="C21" s="56" t="inlineStr">
        <is>
          <t>Advertising and spending pressure: I can spot how ads and offers make us spend.</t>
        </is>
      </c>
      <c r="D21" s="56" t="inlineStr">
        <is>
          <t>Ad and offer sort (real flyers) → spot-the-pressure-trick round → my one resist-it tip.</t>
        </is>
      </c>
      <c r="E21" s="56" t="inlineStr">
        <is>
          <t>income, spending, wages, benefits, payslip, price, budget, bank</t>
        </is>
      </c>
      <c r="F21" s="56" t="inlineStr">
        <is>
          <t>Practice money + tins, payslip, price tags, money-map paper, spending diary; LI student book / e-portfolio. W1 lesson: BUILD_L1_LI_Where_Money_Comes_From.html.</t>
        </is>
      </c>
      <c r="G21" s="56" t="inlineStr">
        <is>
          <t>F</t>
        </is>
      </c>
      <c r="H21" s="56" t="inlineStr">
        <is>
          <t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      </is>
      </c>
      <c r="I21" s="56" t="inlineStr">
        <is>
          <t>TA runs wage-packet counting 1:1; money talk stays judgement-free; NO personal family finances recorded.</t>
        </is>
      </c>
      <c r="J21" s="56" t="n"/>
    </row>
    <row r="22" ht="45.75" customHeight="1" s="42">
      <c r="A22" s="54" t="inlineStr">
        <is>
          <t>Slot 4 · PfA — ASDAN FoodWise</t>
        </is>
      </c>
      <c r="B22" s="56" t="inlineStr">
        <is>
          <t>ASDAN FoodWise — M1 Healthy Eating (Aut1) → M2 Basic Food Safety (Aut2); Section A: 4 challenges over ~10 hrs = 1 credit per module</t>
        </is>
      </c>
      <c r="C22" s="56" t="inlineStr">
        <is>
          <t>I can help build our healthy-eating display for World Food Day (16 Oct).</t>
        </is>
      </c>
      <c r="D22" s="56" t="inlineStr">
        <is>
          <t>Display build from the term's work → each pupil contributes and captions one item → group photo as evidence.</t>
        </is>
      </c>
      <c r="E22" s="56" t="inlineStr">
        <is>
          <t>food group, carbohydrate, protein, dairy, balance, label, hygiene, safety</t>
        </is>
      </c>
      <c r="F22" s="56" t="inlineStr">
        <is>
          <t>Eatwell mat + real foods, packaging for traffic-light labels, kitchen, display kit; FoodWise student book. SMSC anchor: World Food Day 16 Oct. W1 lesson: FW_L1_Food_Groups.html.</t>
        </is>
      </c>
      <c r="G22" s="56" t="inlineStr">
        <is>
          <t>F</t>
        </is>
      </c>
      <c r="H22" s="56" t="inlineStr">
        <is>
          <t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      </is>
      </c>
      <c r="I22" s="56" t="inlineStr">
        <is>
          <t>TA runs food-handling hygiene checks; allergy list confirmed with the office before EVERY food session; photo evidence per pupil per practical.</t>
        </is>
      </c>
      <c r="J22" s="56" t="n"/>
    </row>
    <row r="23" ht="45.75" customHeight="1" s="42">
      <c r="A23" s="54" t="inlineStr">
        <is>
          <t>Slot 5 · Community A — Community Project &amp; Vocational</t>
        </is>
      </c>
      <c r="B23" s="56" t="inlineStr">
        <is>
          <t>Community Project &amp; Vocational — sustained local contribution; ASDAN/UAS community evidence. Trips/Visits policy applies to ALL off-site work (approval 4 weeks ahead, min. two staff).</t>
        </is>
      </c>
      <c r="C23" s="56" t="inlineStr">
        <is>
          <t>I can carry out an early project task in the community (off-site checks complete).</t>
        </is>
      </c>
      <c r="D23" s="56" t="inlineStr">
        <is>
          <t>First off-site session with allocated roles — trip approval, consents and 2-staff minimum confirmed beforehand.</t>
        </is>
      </c>
      <c r="E23" s="56" t="inlineStr">
        <is>
          <t>community, project, partner, role, responsibility, contribute, evidence</t>
        </is>
      </c>
      <c r="F23" s="56" t="inlineStr">
        <is>
          <t>Local partner venue; PPE as required; project log; camera. ICT embedded: digital project log.</t>
        </is>
      </c>
      <c r="G23" s="56" t="inlineStr">
        <is>
          <t>F</t>
        </is>
      </c>
      <c r="H23" s="56" t="inlineStr">
        <is>
          <t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      </is>
      </c>
      <c r="I23" s="56" t="inlineStr">
        <is>
          <t>TA supports allocated roles and captures the weekly log; off-site checklist confirmed before leaving site every time.</t>
        </is>
      </c>
      <c r="J23" s="56" t="n"/>
    </row>
    <row r="24" ht="45.75" customHeight="1" s="42">
      <c r="A24" s="54" t="inlineStr">
        <is>
          <t>Slot 6 · Community B — Junior/Young Duke + Social Enterprise</t>
        </is>
      </c>
      <c r="B24" s="56" t="inlineStr">
        <is>
          <t>Junior/Young Duke (Capable Kids) challenge levels + community &amp; social enterprise action · AQA UAS “Personal challenge”.</t>
        </is>
      </c>
      <c r="C24" s="56" t="inlineStr">
        <is>
          <t>I can record challenge evidence properly (photo + comment).</t>
        </is>
      </c>
      <c r="D24" s="56" t="inlineStr">
        <is>
          <t>Log surgery: strengthen thin entries with comment-writing frames.</t>
        </is>
      </c>
      <c r="E24" s="56" t="inlineStr">
        <is>
          <t>challenge, pledge, evidence, resilience, kindness, independence</t>
        </is>
      </c>
      <c r="F24" s="56" t="inlineStr">
        <is>
          <t>Junior/Young Duke booklets (first aid, cookery, eco, independence challenges); challenge log; camera/tablet. SMSC anchors: Anti-Bullying Week 16–20 Nov, World Kindness Day 13 Nov.</t>
        </is>
      </c>
      <c r="G24" s="56" t="inlineStr">
        <is>
          <t>F</t>
        </is>
      </c>
      <c r="H24" s="56" t="inlineStr">
        <is>
          <t>Tiered 3 ways at every step; NEVER colour-only coding (Pupil B — pair every colour with a word/symbol); movement jobs &amp; pacing breaks built in (Pupil D); low-demand entry + fatigue watch, key tasks early in session (Pupil C); confidence-first low-stakes start, praise attempts before accuracy (Pupil A); photo/oral/scribed evidence accepted throughout.</t>
        </is>
      </c>
      <c r="I24" s="56" t="inlineStr">
        <is>
          <t>TA witnesses and photographs each challenge attempt; tutor signs off only genuinely met challenges; pledge wall kept current.</t>
        </is>
      </c>
      <c r="J24" s="56" t="n"/>
    </row>
    <row r="26" ht="18" customHeight="1" s="42">
      <c r="A26" s="61" t="inlineStr">
        <is>
          <t>Enrichment &amp; wider opportunities this week   (trips, visitors, themed days, SMSC calendar link, PfA / community)</t>
        </is>
      </c>
    </row>
    <row r="27" ht="39.75" customHeight="1" s="42">
      <c r="A27" s="62" t="inlineStr">
        <is>
          <t>BHM continues.  Fri 9 Oct: World Mental Health Day observed — assembly-led, framing light (⚠ SEMH care flags).  PfA / community: local walk — outdoor regulation.</t>
        </is>
      </c>
      <c r="B27" s="63" t="n"/>
      <c r="C27" s="63" t="n"/>
      <c r="D27" s="63" t="n"/>
      <c r="E27" s="63" t="n"/>
      <c r="F27" s="63" t="n"/>
      <c r="G27" s="63" t="n"/>
      <c r="H27" s="63" t="n"/>
      <c r="I27" s="63" t="n"/>
      <c r="J27" s="64" t="n"/>
    </row>
    <row r="28" ht="18" customHeight="1" s="42">
      <c r="A28" s="61" t="inlineStr">
        <is>
          <t>Resources &amp; support to prepare before the week   (printing, kit, bookings, briefing the team)</t>
        </is>
      </c>
    </row>
    <row r="29" ht="39.75" customHeight="1" s="42">
      <c r="A29" s="65" t="inlineStr">
        <is>
          <t>Print/prepare: 'Refugees' text/audio + line strips + emotion bank, offer pairs + calculators + estimate basket, W5 test kit + shared spreadsheet loaded on IWB, guess-who profiles + barometer statements + stem cards, giant floor grid + labelled festival cards, story strips + storyboards + source bank out, artist menu + log frames + videos.  ⚠ WMHD Fri — advance flag, known-adult check-ins.</t>
        </is>
      </c>
      <c r="B29" s="63" t="n"/>
      <c r="C29" s="63" t="n"/>
      <c r="D29" s="63" t="n"/>
      <c r="E29" s="63" t="n"/>
      <c r="F29" s="63" t="n"/>
      <c r="G29" s="63" t="n"/>
      <c r="H29" s="63" t="n"/>
      <c r="I29" s="63" t="n"/>
      <c r="J29" s="64" t="n"/>
    </row>
    <row r="30" ht="18" customHeight="1" s="42">
      <c r="A30" s="66" t="inlineStr">
        <is>
          <t xml:space="preserve">F = formative  ·  S = summative  ·  PfA = Preparing for Adulthood  </t>
        </is>
      </c>
    </row>
  </sheetData>
  <mergeCells count="9">
    <mergeCell ref="A1:J1"/>
    <mergeCell ref="A8:J8"/>
    <mergeCell ref="B6:D6"/>
    <mergeCell ref="A27:J27"/>
    <mergeCell ref="A30:J30"/>
    <mergeCell ref="A29:J29"/>
    <mergeCell ref="A26:J26"/>
    <mergeCell ref="A2:J2"/>
    <mergeCell ref="A28:J28"/>
  </mergeCells>
  <dataValidations count="4">
    <dataValidation sqref="B4" showDropDown="0" showInputMessage="0" showErrorMessage="0" allowBlank="1" errorTitle="Choose from the list" error="Pick a value from the list." type="list" errorStyle="stop" operator="between">
      <formula1>"BUILD,GROW,LAUNCH"</formula1>
      <formula2>0</formula2>
    </dataValidation>
    <dataValidation sqref="B5" showDropDown="0" showInputMessage="0" showErrorMessage="0" allowBlank="1" errorTitle="Choose from the list" error="Pick a value from the list." type="list" errorStyle="stop" operator="between">
      <formula1>"Autumn,Spring,Summer"</formula1>
      <formula2>0</formula2>
    </dataValidation>
    <dataValidation sqref="A10:A18" showDropDown="0" showInputMessage="0" showErrorMessage="0" allowBlank="1" errorTitle="Choose from the list" error="Pick a value from the list." type="list" errorStyle="stop" operator="between">
      <formula1>"English,Maths,Science,PSHE / RSE,RE,Humanities,Arts (Arts Award),PE,Careers / Vocational (ASDAN),Computing / Digital,Personal Development / PfA"</formula1>
      <formula2>0</formula2>
    </dataValidation>
    <dataValidation sqref="G10:G18" showDropDown="0" showInputMessage="0" showErrorMessage="0" allowBlank="1" errorTitle="Choose from the list" error="Pick a value from the list." type="list" errorStyle="stop" operator="between">
      <formula1>"F,S,F + 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D6006E"/>
    <outlinePr summaryBelow="1" summaryRight="1"/>
    <pageSetUpPr fitToPage="0"/>
  </sheetPr>
  <dimension ref="A1:I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10" activeCellId="0" sqref="D10"/>
    </sheetView>
  </sheetViews>
  <sheetFormatPr baseColWidth="8" defaultColWidth="8.5625" defaultRowHeight="14.25" zeroHeight="0" outlineLevelRow="0"/>
  <cols>
    <col width="16" customWidth="1" style="41" min="1" max="1"/>
    <col width="11" customWidth="1" style="41" min="2" max="2"/>
    <col width="10" customWidth="1" style="41" min="3" max="3"/>
    <col width="15" customWidth="1" style="41" min="4" max="4"/>
    <col width="26" customWidth="1" style="41" min="5" max="5"/>
    <col width="36" customWidth="1" style="41" min="6" max="7"/>
    <col width="22" customWidth="1" style="41" min="8" max="8"/>
    <col width="26" customWidth="1" style="41" min="9" max="9"/>
  </cols>
  <sheetData>
    <row r="1" ht="25.5" customHeight="1" s="42">
      <c r="A1" s="67" t="inlineStr">
        <is>
          <t>Student Adaptations</t>
        </is>
      </c>
    </row>
    <row r="2" ht="14.25" customHeight="1" s="42">
      <c r="A2" s="44" t="n"/>
    </row>
    <row r="4" ht="27.75" customHeight="1" s="42">
      <c r="A4" s="53" t="inlineStr">
        <is>
          <t>Name</t>
        </is>
      </c>
      <c r="B4" s="53" t="inlineStr">
        <is>
          <t>Pathway</t>
        </is>
      </c>
      <c r="C4" s="53" t="inlineStr">
        <is>
          <t>Year / KS</t>
        </is>
      </c>
      <c r="D4" s="53" t="inlineStr">
        <is>
          <t>Reading age band</t>
        </is>
      </c>
      <c r="E4" s="53" t="inlineStr">
        <is>
          <t>Communication / sensory needs</t>
        </is>
      </c>
      <c r="F4" s="53" t="inlineStr">
        <is>
          <t>Key scaffolds &amp; adaptations</t>
        </is>
      </c>
      <c r="G4" s="53" t="inlineStr">
        <is>
          <t>EHCP primary outcomes</t>
        </is>
      </c>
      <c r="H4" s="53" t="inlineStr">
        <is>
          <t>PfA focus</t>
        </is>
      </c>
      <c r="I4" s="53" t="inlineStr">
        <is>
          <t>Notes</t>
        </is>
      </c>
    </row>
    <row r="5" ht="174.75" customHeight="1" s="42">
      <c r="A5" s="54" t="inlineStr">
        <is>
          <t>Pupil A</t>
        </is>
      </c>
      <c r="B5" s="56" t="inlineStr">
        <is>
          <t>BUILD</t>
        </is>
      </c>
      <c r="C5" s="56" t="inlineStr">
        <is>
          <t>KS4</t>
        </is>
      </c>
      <c r="D5" s="68" t="n"/>
      <c r="E5" s="68" t="n"/>
      <c r="F5" s="68" t="n"/>
      <c r="G5" s="68" t="n"/>
      <c r="H5" s="68" t="n"/>
      <c r="I5" s="68" t="n"/>
    </row>
    <row r="6" ht="174.75" customHeight="1" s="42">
      <c r="A6" s="54" t="inlineStr">
        <is>
          <t>Pupil B</t>
        </is>
      </c>
      <c r="B6" s="56" t="inlineStr">
        <is>
          <t>BUILD</t>
        </is>
      </c>
      <c r="C6" s="56" t="inlineStr">
        <is>
          <t>KS4</t>
        </is>
      </c>
      <c r="D6" s="68" t="n"/>
      <c r="E6" s="68" t="n"/>
      <c r="F6" s="68" t="n"/>
      <c r="G6" s="68" t="n"/>
      <c r="H6" s="68" t="n"/>
      <c r="I6" s="68" t="n"/>
    </row>
    <row r="7" ht="174.75" customHeight="1" s="42">
      <c r="A7" s="54" t="inlineStr">
        <is>
          <t>Pupil C</t>
        </is>
      </c>
      <c r="B7" s="56" t="inlineStr">
        <is>
          <t>BUILD</t>
        </is>
      </c>
      <c r="C7" s="56" t="inlineStr">
        <is>
          <t>KS4</t>
        </is>
      </c>
      <c r="D7" s="68" t="n"/>
      <c r="E7" s="68" t="n"/>
      <c r="F7" s="68" t="n"/>
      <c r="G7" s="68" t="n"/>
      <c r="H7" s="68" t="n"/>
      <c r="I7" s="68" t="n"/>
    </row>
    <row r="8" ht="174.75" customHeight="1" s="42">
      <c r="A8" s="54" t="inlineStr">
        <is>
          <t>Pupil D</t>
        </is>
      </c>
      <c r="B8" s="56" t="inlineStr">
        <is>
          <t>BUILD</t>
        </is>
      </c>
      <c r="C8" s="56" t="inlineStr">
        <is>
          <t>KS4</t>
        </is>
      </c>
      <c r="D8" s="68" t="n"/>
      <c r="E8" s="68" t="n"/>
      <c r="F8" s="68" t="n"/>
      <c r="G8" s="68" t="n"/>
      <c r="H8" s="68" t="n"/>
      <c r="I8" s="68" t="n"/>
    </row>
    <row r="9" ht="30" customHeight="1" s="42">
      <c r="A9" s="69" t="n"/>
      <c r="B9" s="69" t="n"/>
      <c r="C9" s="69" t="n"/>
      <c r="D9" s="69" t="n"/>
      <c r="E9" s="69" t="n"/>
      <c r="F9" s="69" t="n"/>
      <c r="G9" s="69" t="n"/>
      <c r="H9" s="69" t="n"/>
      <c r="I9" s="69" t="n"/>
    </row>
    <row r="10" ht="30" customHeight="1" s="42">
      <c r="A10" s="70" t="n"/>
      <c r="B10" s="70" t="n"/>
      <c r="C10" s="70" t="n"/>
      <c r="D10" s="70" t="n"/>
      <c r="E10" s="70" t="n"/>
      <c r="F10" s="70" t="n"/>
      <c r="G10" s="70" t="n"/>
      <c r="H10" s="70" t="n"/>
      <c r="I10" s="70" t="n"/>
    </row>
    <row r="11" ht="30" customHeight="1" s="42">
      <c r="A11" s="69" t="n"/>
      <c r="B11" s="69" t="n"/>
      <c r="C11" s="69" t="n"/>
      <c r="D11" s="69" t="n"/>
      <c r="E11" s="69" t="n"/>
      <c r="F11" s="69" t="n"/>
      <c r="G11" s="69" t="n"/>
      <c r="H11" s="69" t="n"/>
      <c r="I11" s="69" t="n"/>
    </row>
    <row r="12" ht="30" customHeight="1" s="42">
      <c r="A12" s="70" t="n"/>
      <c r="B12" s="70" t="n"/>
      <c r="C12" s="70" t="n"/>
      <c r="D12" s="70" t="n"/>
      <c r="E12" s="70" t="n"/>
      <c r="F12" s="70" t="n"/>
      <c r="G12" s="70" t="n"/>
      <c r="H12" s="70" t="n"/>
      <c r="I12" s="70" t="n"/>
    </row>
    <row r="13" ht="30" customHeight="1" s="42">
      <c r="A13" s="69" t="n"/>
      <c r="B13" s="69" t="n"/>
      <c r="C13" s="69" t="n"/>
      <c r="D13" s="69" t="n"/>
      <c r="E13" s="69" t="n"/>
      <c r="F13" s="69" t="n"/>
      <c r="G13" s="69" t="n"/>
      <c r="H13" s="69" t="n"/>
      <c r="I13" s="69" t="n"/>
    </row>
    <row r="14" ht="30" customHeight="1" s="42">
      <c r="A14" s="70" t="n"/>
      <c r="B14" s="70" t="n"/>
      <c r="C14" s="70" t="n"/>
      <c r="D14" s="70" t="n"/>
      <c r="E14" s="70" t="n"/>
      <c r="F14" s="70" t="n"/>
      <c r="G14" s="70" t="n"/>
      <c r="H14" s="70" t="n"/>
      <c r="I14" s="70" t="n"/>
    </row>
    <row r="15" ht="30" customHeight="1" s="42">
      <c r="A15" s="69" t="n"/>
      <c r="B15" s="69" t="n"/>
      <c r="C15" s="69" t="n"/>
      <c r="D15" s="69" t="n"/>
      <c r="E15" s="69" t="n"/>
      <c r="F15" s="69" t="n"/>
      <c r="G15" s="69" t="n"/>
      <c r="H15" s="69" t="n"/>
      <c r="I15" s="69" t="n"/>
    </row>
    <row r="16" ht="30" customHeight="1" s="42">
      <c r="A16" s="70" t="n"/>
      <c r="B16" s="70" t="n"/>
      <c r="C16" s="70" t="n"/>
      <c r="D16" s="70" t="n"/>
      <c r="E16" s="70" t="n"/>
      <c r="F16" s="70" t="n"/>
      <c r="G16" s="70" t="n"/>
      <c r="H16" s="70" t="n"/>
      <c r="I16" s="70" t="n"/>
    </row>
    <row r="17" ht="30" customHeight="1" s="42">
      <c r="A17" s="69" t="n"/>
      <c r="B17" s="69" t="n"/>
      <c r="C17" s="69" t="n"/>
      <c r="D17" s="69" t="n"/>
      <c r="E17" s="69" t="n"/>
      <c r="F17" s="69" t="n"/>
      <c r="G17" s="69" t="n"/>
      <c r="H17" s="69" t="n"/>
      <c r="I17" s="69" t="n"/>
    </row>
    <row r="18" ht="30" customHeight="1" s="42">
      <c r="A18" s="70" t="n"/>
      <c r="B18" s="70" t="n"/>
      <c r="C18" s="70" t="n"/>
      <c r="D18" s="70" t="n"/>
      <c r="E18" s="70" t="n"/>
      <c r="F18" s="70" t="n"/>
      <c r="G18" s="70" t="n"/>
      <c r="H18" s="70" t="n"/>
      <c r="I18" s="70" t="n"/>
    </row>
    <row r="19" ht="30" customHeight="1" s="42">
      <c r="A19" s="69" t="n"/>
      <c r="B19" s="69" t="n"/>
      <c r="C19" s="69" t="n"/>
      <c r="D19" s="69" t="n"/>
      <c r="E19" s="69" t="n"/>
      <c r="F19" s="69" t="n"/>
      <c r="G19" s="69" t="n"/>
      <c r="H19" s="69" t="n"/>
      <c r="I19" s="69" t="n"/>
    </row>
  </sheetData>
  <mergeCells count="2">
    <mergeCell ref="A1:I1"/>
    <mergeCell ref="A2:I2"/>
  </mergeCells>
  <conditionalFormatting sqref="B5:B19">
    <cfRule type="cellIs" rank="0" priority="2" equalAverage="0" operator="equal" aboveAverage="0" dxfId="0" text="" percent="0" bottom="0">
      <formula>"BUILD"</formula>
    </cfRule>
    <cfRule type="cellIs" rank="0" priority="3" equalAverage="0" operator="equal" aboveAverage="0" dxfId="1" text="" percent="0" bottom="0">
      <formula>"GROW"</formula>
    </cfRule>
    <cfRule type="cellIs" rank="0" priority="4" equalAverage="0" operator="equal" aboveAverage="0" dxfId="2" text="" percent="0" bottom="0">
      <formula>"LAUNCH"</formula>
    </cfRule>
  </conditionalFormatting>
  <dataValidations count="1">
    <dataValidation sqref="B5:B19" showDropDown="0" showInputMessage="0" showErrorMessage="0" allowBlank="1" errorTitle="Choose from the list" error="Pick a value from the list." type="list" errorStyle="stop" operator="between">
      <formula1>"BUILD,GROW,LAUNCH"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D6006E"/>
    <outlinePr summaryBelow="1" summaryRight="1"/>
    <pageSetUpPr fitToPage="0"/>
  </sheetPr>
  <dimension ref="A1:I24"/>
  <sheetViews>
    <sheetView showFormulas="0" showGridLines="0" showRowColHeaders="1" showZeros="1" rightToLeft="0" tabSelected="1" showOutlineSymbols="1" defaultGridColor="1" view="normal" topLeftCell="A1" colorId="64" zoomScale="85" zoomScaleNormal="85" zoomScalePageLayoutView="100" workbookViewId="0">
      <pane xSplit="0" ySplit="5" topLeftCell="A8" activePane="bottomLeft" state="frozen"/>
      <selection pane="topLeft" activeCell="A1" activeCellId="0" sqref="A1"/>
      <selection pane="bottomLeft" activeCell="D10" activeCellId="0" sqref="D10"/>
    </sheetView>
  </sheetViews>
  <sheetFormatPr baseColWidth="8" defaultColWidth="8.5625" defaultRowHeight="14.25" zeroHeight="0" outlineLevelRow="0"/>
  <cols>
    <col width="12" customWidth="1" style="41" min="1" max="1"/>
    <col width="11" customWidth="1" style="41" min="2" max="2"/>
    <col width="16" customWidth="1" style="41" min="3" max="3"/>
    <col width="28" customWidth="1" style="41" min="4" max="4"/>
    <col width="24" customWidth="1" style="41" min="5" max="5"/>
    <col width="9" customWidth="1" style="41" min="6" max="6"/>
    <col width="24" customWidth="1" style="41" min="7" max="7"/>
    <col width="18" customWidth="1" style="41" min="8" max="8"/>
    <col width="26" customWidth="1" style="41" min="9" max="9"/>
  </cols>
  <sheetData>
    <row r="1" ht="25.5" customHeight="1" s="42">
      <c r="A1" s="71" t="inlineStr">
        <is>
          <t xml:space="preserve">Outcome Tracker </t>
        </is>
      </c>
    </row>
    <row r="2" ht="14.25" customHeight="1" s="42">
      <c r="A2" s="72" t="inlineStr">
        <is>
          <t xml:space="preserve">Did everyone make progress and meet the outcome? </t>
        </is>
      </c>
    </row>
    <row r="3" ht="18" customHeight="1" s="42">
      <c r="A3" s="73" t="inlineStr">
        <is>
          <t>GREEN</t>
        </is>
      </c>
      <c r="B3" s="74" t="inlineStr">
        <is>
          <t>All demonstrated progress &amp; achieved the outcome</t>
        </is>
      </c>
      <c r="D3" s="75" t="inlineStr">
        <is>
          <t>AMBER</t>
        </is>
      </c>
      <c r="E3" s="74" t="inlineStr">
        <is>
          <t>Partly met, revisit in class</t>
        </is>
      </c>
      <c r="G3" s="76" t="inlineStr">
        <is>
          <t>RED</t>
        </is>
      </c>
      <c r="H3" s="74" t="inlineStr">
        <is>
          <t>Not met, pick up through intervention</t>
        </is>
      </c>
    </row>
    <row r="4"/>
    <row r="5" ht="27.75" customHeight="1" s="42">
      <c r="A5" s="53" t="inlineStr">
        <is>
          <t>Week (w/c)</t>
        </is>
      </c>
      <c r="B5" s="53" t="inlineStr">
        <is>
          <t>Pathway</t>
        </is>
      </c>
      <c r="C5" s="53" t="inlineStr">
        <is>
          <t>Subject</t>
        </is>
      </c>
      <c r="D5" s="53" t="inlineStr">
        <is>
          <t>Outcome reviewed</t>
        </is>
      </c>
      <c r="E5" s="53" t="inlineStr">
        <is>
          <t>Marking / evidence</t>
        </is>
      </c>
      <c r="F5" s="53" t="inlineStr">
        <is>
          <t>RAG</t>
        </is>
      </c>
      <c r="G5" s="53" t="inlineStr">
        <is>
          <t>Students not yet secure</t>
        </is>
      </c>
      <c r="H5" s="53" t="inlineStr">
        <is>
          <t>Picked up via</t>
        </is>
      </c>
      <c r="I5" s="53" t="inlineStr">
        <is>
          <t>Action &amp; timescale</t>
        </is>
      </c>
    </row>
    <row r="6" ht="30" customHeight="1" s="42">
      <c r="A6" s="77" t="n">
        <v>46300</v>
      </c>
      <c r="B6" s="56" t="inlineStr">
        <is>
          <t>BUILD</t>
        </is>
      </c>
      <c r="C6" s="56" t="inlineStr">
        <is>
          <t>Science</t>
        </is>
      </c>
      <c r="D6" s="56" t="inlineStr">
        <is>
          <t>I can sort foods into groups and describe what balance means.</t>
        </is>
      </c>
      <c r="E6" s="56" t="n"/>
      <c r="F6" s="56" t="n"/>
      <c r="G6" s="56" t="n"/>
      <c r="H6" s="56" t="n"/>
      <c r="I6" s="56" t="n"/>
    </row>
    <row r="7" ht="30" customHeight="1" s="42">
      <c r="A7" s="77" t="n">
        <v>46300</v>
      </c>
      <c r="B7" s="56" t="inlineStr">
        <is>
          <t>BUILD</t>
        </is>
      </c>
      <c r="C7" s="56" t="inlineStr">
        <is>
          <t>PSHE / RSE</t>
        </is>
      </c>
      <c r="D7" s="56" t="inlineStr">
        <is>
          <t>I can spot a stereotype and disagree respectfully.</t>
        </is>
      </c>
      <c r="E7" s="56" t="n"/>
      <c r="F7" s="56" t="n"/>
      <c r="G7" s="56" t="n"/>
      <c r="H7" s="56" t="n"/>
      <c r="I7" s="56" t="n"/>
    </row>
    <row r="8" ht="30" customHeight="1" s="42">
      <c r="A8" s="77" t="n">
        <v>46300</v>
      </c>
      <c r="B8" s="56" t="inlineStr">
        <is>
          <t>BUILD</t>
        </is>
      </c>
      <c r="C8" s="56" t="inlineStr">
        <is>
          <t>Humanities</t>
        </is>
      </c>
      <c r="D8" s="56" t="inlineStr">
        <is>
          <t>I can plan a short migration story using two of our sources.</t>
        </is>
      </c>
      <c r="E8" s="56" t="n"/>
      <c r="F8" s="56" t="n"/>
      <c r="G8" s="56" t="n"/>
      <c r="H8" s="56" t="n"/>
      <c r="I8" s="56" t="n"/>
    </row>
    <row r="9" ht="30" customHeight="1" s="42">
      <c r="A9" s="77" t="n">
        <v>46300</v>
      </c>
      <c r="B9" s="56" t="inlineStr">
        <is>
          <t>BUILD</t>
        </is>
      </c>
      <c r="C9" s="56" t="inlineStr">
        <is>
          <t>Arts (Arts Award)</t>
        </is>
      </c>
      <c r="D9" s="56" t="inlineStr">
        <is>
          <t>I can find out about one artist and share a fact and a feeling.</t>
        </is>
      </c>
      <c r="E9" s="56" t="n"/>
      <c r="F9" s="56" t="n"/>
      <c r="G9" s="56" t="n"/>
      <c r="H9" s="56" t="n"/>
      <c r="I9" s="56" t="n"/>
    </row>
    <row r="10" ht="30" customHeight="1" s="42">
      <c r="A10" s="77" t="n">
        <v>46300</v>
      </c>
      <c r="B10" s="56" t="inlineStr">
        <is>
          <t>BUILD</t>
        </is>
      </c>
      <c r="C10" s="70" t="inlineStr">
        <is>
          <t>Maths</t>
        </is>
      </c>
      <c r="D10" s="58" t="inlineStr">
        <is>
          <t>I can use formal written methods to multiply 4-digit numbers by 1-digit and 2-digit numbers accurately.</t>
        </is>
      </c>
      <c r="E10" s="70" t="n"/>
      <c r="F10" s="70" t="n"/>
      <c r="G10" s="70" t="n"/>
      <c r="H10" s="70" t="n"/>
      <c r="I10" s="70" t="n"/>
    </row>
    <row r="11" ht="30" customHeight="1" s="42">
      <c r="A11" s="77" t="n">
        <v>46300</v>
      </c>
      <c r="B11" s="56" t="inlineStr">
        <is>
          <t>BUILD</t>
        </is>
      </c>
      <c r="C11" s="69" t="inlineStr">
        <is>
          <t>RE</t>
        </is>
      </c>
      <c r="D11" s="60" t="inlineStr">
        <is>
          <t>I can spot what our three festivals of light share.</t>
        </is>
      </c>
      <c r="E11" s="69" t="n"/>
      <c r="F11" s="69" t="n"/>
      <c r="G11" s="69" t="n"/>
      <c r="H11" s="69" t="n"/>
      <c r="I11" s="69" t="n"/>
    </row>
    <row r="12" ht="30" customHeight="1" s="42">
      <c r="A12" s="77" t="n">
        <v>46300</v>
      </c>
      <c r="B12" s="70" t="inlineStr">
        <is>
          <t>BUILD</t>
        </is>
      </c>
      <c r="C12" s="70" t="inlineStr">
        <is>
          <t>English</t>
        </is>
      </c>
      <c r="D12" s="55" t="inlineStr">
        <is>
          <t>Students wrote a short personal paragraph using capital letters, full stops and at least one reason.</t>
        </is>
      </c>
      <c r="E12" s="70" t="n"/>
      <c r="F12" s="70" t="n"/>
      <c r="G12" s="70" t="n"/>
      <c r="H12" s="70" t="n"/>
      <c r="I12" s="70" t="n"/>
    </row>
    <row r="13" ht="30" customHeight="1" s="42">
      <c r="A13" s="78" t="n">
        <v>46300</v>
      </c>
      <c r="B13" s="69" t="inlineStr">
        <is>
          <t>BUILD</t>
        </is>
      </c>
      <c r="C13" s="69" t="inlineStr">
        <is>
          <t>ASDAN PEQ (WellbLeE3)</t>
        </is>
      </c>
      <c r="D13" s="69" t="inlineStr">
        <is>
          <t>I can name people and things that support my learning.</t>
        </is>
      </c>
      <c r="E13" s="69" t="inlineStr">
        <is>
          <t>PEQ portfolio: photos + scribed voice + witness statements</t>
        </is>
      </c>
      <c r="F13" s="69" t="n"/>
      <c r="G13" s="69" t="n"/>
      <c r="H13" s="69" t="n"/>
      <c r="I13" s="69" t="n"/>
    </row>
    <row r="14" ht="30" customHeight="1" s="42">
      <c r="A14" s="79" t="n">
        <v>46300</v>
      </c>
      <c r="B14" s="70" t="inlineStr">
        <is>
          <t>BUILD</t>
        </is>
      </c>
      <c r="C14" s="70" t="inlineStr">
        <is>
          <t>PfA — ASDAN LI</t>
        </is>
      </c>
      <c r="D14" s="70" t="inlineStr">
        <is>
          <t>Advertising and spending pressure: I can spot how ads and offers make us spend.</t>
        </is>
      </c>
      <c r="E14" s="70" t="inlineStr">
        <is>
          <t>LI portfolio: challenge evidence + skills grid</t>
        </is>
      </c>
      <c r="F14" s="70" t="n"/>
      <c r="G14" s="70" t="n"/>
      <c r="H14" s="70" t="n"/>
      <c r="I14" s="70" t="n"/>
    </row>
    <row r="15" ht="25.5" customHeight="1" s="42">
      <c r="A15" s="78" t="n">
        <v>46300</v>
      </c>
      <c r="B15" s="69" t="inlineStr">
        <is>
          <t>BUILD</t>
        </is>
      </c>
      <c r="C15" s="69" t="inlineStr">
        <is>
          <t>PfA — ASDAN FoodWise</t>
        </is>
      </c>
      <c r="D15" s="69" t="inlineStr">
        <is>
          <t>I can help build our healthy-eating display for World Food Day (16 Oct).</t>
        </is>
      </c>
      <c r="E15" s="69" t="inlineStr">
        <is>
          <t>FoodWise portfolio: challenge evidence + photos</t>
        </is>
      </c>
      <c r="F15" s="69" t="n"/>
      <c r="G15" s="69" t="n"/>
      <c r="H15" s="69" t="n"/>
      <c r="I15" s="69" t="n"/>
    </row>
    <row r="16" ht="25.5" customHeight="1" s="42">
      <c r="A16" s="70" t="n"/>
      <c r="B16" s="70" t="n"/>
      <c r="C16" s="70" t="n"/>
      <c r="D16" s="70" t="n"/>
      <c r="E16" s="70" t="n"/>
      <c r="F16" s="70" t="n"/>
      <c r="G16" s="70" t="n"/>
      <c r="H16" s="70" t="n"/>
      <c r="I16" s="70" t="n"/>
    </row>
    <row r="17" ht="25.5" customHeight="1" s="42">
      <c r="A17" s="69" t="n"/>
      <c r="B17" s="69" t="n"/>
      <c r="C17" s="69" t="n"/>
      <c r="D17" s="69" t="n"/>
      <c r="E17" s="69" t="n"/>
      <c r="F17" s="69" t="n"/>
      <c r="G17" s="69" t="n"/>
      <c r="H17" s="69" t="n"/>
      <c r="I17" s="69" t="n"/>
    </row>
    <row r="18" ht="25.5" customHeight="1" s="42">
      <c r="A18" s="70" t="n"/>
      <c r="B18" s="70" t="n"/>
      <c r="C18" s="70" t="n"/>
      <c r="D18" s="70" t="n"/>
      <c r="E18" s="70" t="n"/>
      <c r="F18" s="70" t="n"/>
      <c r="G18" s="70" t="n"/>
      <c r="H18" s="70" t="n"/>
      <c r="I18" s="70" t="n"/>
    </row>
    <row r="19" ht="25.5" customHeight="1" s="42">
      <c r="A19" s="69" t="n"/>
      <c r="B19" s="69" t="n"/>
      <c r="C19" s="69" t="n"/>
      <c r="D19" s="69" t="n"/>
      <c r="E19" s="69" t="n"/>
      <c r="F19" s="69" t="n"/>
      <c r="G19" s="69" t="n"/>
      <c r="H19" s="69" t="n"/>
      <c r="I19" s="69" t="n"/>
    </row>
    <row r="20" ht="25.5" customHeight="1" s="42">
      <c r="A20" s="70" t="n"/>
      <c r="B20" s="70" t="n"/>
      <c r="C20" s="70" t="n"/>
      <c r="D20" s="70" t="n"/>
      <c r="E20" s="70" t="n"/>
      <c r="F20" s="70" t="n"/>
      <c r="G20" s="70" t="n"/>
      <c r="H20" s="70" t="n"/>
      <c r="I20" s="70" t="n"/>
    </row>
    <row r="21" ht="25.5" customHeight="1" s="42">
      <c r="A21" s="69" t="n"/>
      <c r="B21" s="69" t="n"/>
      <c r="C21" s="69" t="n"/>
      <c r="D21" s="69" t="n"/>
      <c r="E21" s="69" t="n"/>
      <c r="F21" s="69" t="n"/>
      <c r="G21" s="69" t="n"/>
      <c r="H21" s="69" t="n"/>
      <c r="I21" s="69" t="n"/>
    </row>
    <row r="22" ht="25.5" customHeight="1" s="42"/>
    <row r="23" ht="25.5" customHeight="1" s="42">
      <c r="C23" s="80" t="inlineStr">
        <is>
          <t>This sheet:</t>
        </is>
      </c>
      <c r="D23" s="81">
        <f>COUNTIF($F$6:$F$18,"Green")</f>
        <v/>
      </c>
      <c r="E23" s="82">
        <f>COUNTIF($F$6:$F$18,"Amber")</f>
        <v/>
      </c>
      <c r="F23" s="83">
        <f>COUNTIF($F$6:$F$18,"Red")</f>
        <v/>
      </c>
    </row>
    <row r="24" ht="25.5" customHeight="1" s="42">
      <c r="D24" s="84" t="inlineStr">
        <is>
          <t>Green</t>
        </is>
      </c>
      <c r="E24" s="84" t="inlineStr">
        <is>
          <t>Amber</t>
        </is>
      </c>
      <c r="F24" s="84" t="inlineStr">
        <is>
          <t>Red</t>
        </is>
      </c>
    </row>
    <row r="25" ht="25.5" customHeight="1" s="42"/>
    <row r="26" ht="25.5" customHeight="1" s="42"/>
  </sheetData>
  <mergeCells count="5">
    <mergeCell ref="A2:I2"/>
    <mergeCell ref="B3:C3"/>
    <mergeCell ref="A1:I1"/>
    <mergeCell ref="E3:F3"/>
    <mergeCell ref="H3:I3"/>
  </mergeCells>
  <conditionalFormatting sqref="F6:F26">
    <cfRule type="cellIs" rank="0" priority="2" equalAverage="0" operator="equal" aboveAverage="0" dxfId="0" text="" percent="0" bottom="0">
      <formula>"Green"</formula>
    </cfRule>
    <cfRule type="cellIs" rank="0" priority="3" equalAverage="0" operator="equal" aboveAverage="0" dxfId="3" text="" percent="0" bottom="0">
      <formula>"Amber"</formula>
    </cfRule>
    <cfRule type="cellIs" rank="0" priority="4" equalAverage="0" operator="equal" aboveAverage="0" dxfId="4" text="" percent="0" bottom="0">
      <formula>"Red"</formula>
    </cfRule>
  </conditionalFormatting>
  <dataValidations count="4">
    <dataValidation sqref="B6:B26" showDropDown="0" showInputMessage="0" showErrorMessage="0" allowBlank="1" errorTitle="Choose from the list" error="Pick a value from the list." type="list" errorStyle="stop" operator="between">
      <formula1>"BUILD,GROW,LAUNCH"</formula1>
      <formula2>0</formula2>
    </dataValidation>
    <dataValidation sqref="C6:C26" showDropDown="0" showInputMessage="0" showErrorMessage="0" allowBlank="1" errorTitle="Choose from the list" error="Pick a value from the list." type="list" errorStyle="stop" operator="between">
      <formula1>"English,Maths,Science,PSHE / RSE,RE,Humanities,Arts (Arts Award),PE,Careers / Vocational (ASDAN),Computing / Digital,Personal Development / PfA"</formula1>
      <formula2>0</formula2>
    </dataValidation>
    <dataValidation sqref="F6:F26" showDropDown="0" showInputMessage="0" showErrorMessage="0" allowBlank="1" errorTitle="Choose from the list" error="Pick a value from the list." type="list" errorStyle="stop" operator="between">
      <formula1>"Green,Amber,Red"</formula1>
      <formula2>0</formula2>
    </dataValidation>
    <dataValidation sqref="H6:H26" showDropDown="0" showInputMessage="0" showErrorMessage="0" allowBlank="1" errorTitle="Choose from the list" error="Pick a value from the list." type="list" errorStyle="stop" operator="between">
      <formula1>"Achieved (move on),Revisit in class,Intervention"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2026-06-22T07:46:21Z</dcterms:created>
  <dcterms:modified xsi:type="dcterms:W3CDTF">2026-07-29T16:31:01Z</dcterms:modified>
  <cp:lastModifiedBy>Helen Stewart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0x0101002C6E38C4B2056147BFEE88C7F682B392</vt:lpwstr>
  </property>
  <property name="MediaServiceImageTags" fmtid="{D5CDD505-2E9C-101B-9397-08002B2CF9AE}" pid="3">
    <vt:lpwstr/>
  </property>
</Properties>
</file>