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lan" sheetId="1" state="visible" r:id="rId3"/>
    <sheet name="Students" sheetId="2" state="visible" r:id="rId4"/>
    <sheet name="Outcomes RA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<sst xmlns="http://schemas.openxmlformats.org/spreadsheetml/2006/main" count="238" uniqueCount="186">
  <si>
    <t xml:space="preserve">Weekly Planner - To be submitted to Head of School prior to the start of each Half-Term</t>
  </si>
  <si>
    <t xml:space="preserve">Progress Schools  ·  linked to the 2026/27 Schemes of Work</t>
  </si>
  <si>
    <t xml:space="preserve">Pathway</t>
  </si>
  <si>
    <t xml:space="preserve">BUILD</t>
  </si>
  <si>
    <t xml:space="preserve">Week no.</t>
  </si>
  <si>
    <t xml:space="preserve">Term</t>
  </si>
  <si>
    <t xml:space="preserve">Autumn</t>
  </si>
  <si>
    <t xml:space="preserve">Group / class</t>
  </si>
  <si>
    <t xml:space="preserve">Theme</t>
  </si>
  <si>
    <t xml:space="preserve">Teacher</t>
  </si>
  <si>
    <t xml:space="preserve">Week commencing</t>
  </si>
  <si>
    <t xml:space="preserve">Reviewed by</t>
  </si>
  <si>
    <t xml:space="preserve">SMSC/BV this week: British Values launch — assembly introduces the five values; Build's PSHE W1–2 diversity &amp; rights work feeds a signed, symbol-supported class charter.  EVIDENCE: charter photo + BV hub RAG → log in the SMSC Evidence Tracker.</t>
  </si>
  <si>
    <t xml:space="preserve">Subject</t>
  </si>
  <si>
    <t xml:space="preserve">SoW unit (this term)</t>
  </si>
  <si>
    <t xml:space="preserve">This week's outcome</t>
  </si>
  <si>
    <t xml:space="preserve">Activities</t>
  </si>
  <si>
    <t xml:space="preserve">Key vocabulary</t>
  </si>
  <si>
    <t xml:space="preserve">Resources required</t>
  </si>
  <si>
    <t xml:space="preserve">Assess. (F/S)</t>
  </si>
  <si>
    <t xml:space="preserve">Student adaptations</t>
  </si>
  <si>
    <t xml:space="preserve">Classroom support</t>
  </si>
  <si>
    <t xml:space="preserve">Evaluation (after teaching)</t>
  </si>
  <si>
    <t xml:space="preserve">English</t>
  </si>
  <si>
    <t xml:space="preserve">Identity &amp; Belonging: who I am as a learner and future citizen</t>
  </si>
  <si>
    <t xml:space="preserve">I can introduce myself and identify one strength, one support need and one English target.</t>
  </si>
  <si>
    <t xml:space="preserve">Soft-start: choose 3 words that describe me → read a short learner profile → discuss what makes a good workplace introduction → complete a simple personal profile → agree one English/communication target.</t>
  </si>
  <si>
    <t xml:space="preserve">identity, strength, support, target, introduce, profile</t>
  </si>
  <si>
    <t xml:space="preserve">Personal profile template; learner profile example; word bank; target sheet; coloured paper/overlays; laptops if needed.</t>
  </si>
  <si>
    <t xml:space="preserve">F</t>
  </si>
  <si>
    <t xml:space="preserve">Sentence stems; choice of written/typed/scribed response; reduced writing box; no cold calling; confidence scale.</t>
  </si>
  <si>
    <t xml:space="preserve">TA supports task initiation and oral rehearsal. Teacher records baseline communication confidence and access needs.</t>
  </si>
  <si>
    <t xml:space="preserve">Record baseline confidence, support needs and target.</t>
  </si>
  <si>
    <t xml:space="preserve">Maths</t>
  </si>
  <si>
    <t xml:space="preserve">Number, calculation &amp; fractions (Y5/6)</t>
  </si>
  <si>
    <t xml:space="preserve">I can read, write, order and compare numbers up to 1,000,000 and explain the value of each digit.</t>
  </si>
  <si>
    <t xml:space="preserve">Place value warm-up using digit cards.
Read and write numbers in numerals and words.
Complete number ordering challenges.
Compare numbers using &gt;, &lt; and = symbols.
Number line activities to 1,000,000.
Functional Skills application using population, finance and distance data.</t>
  </si>
  <si>
    <t xml:space="preserve">Digit
Number
Place value
Thousands
Ten thousand
Hundred thousand
Million
Greater than
Less than
Equal to
Ascending
Descending</t>
  </si>
  <si>
    <t xml:space="preserve">Place value charts
Digit cards
Number lines
Whiteboards and pens
Worksheets
Interactive whiteboard
Calculators (for checking)</t>
  </si>
  <si>
    <t xml:space="preserve">Place value grids for support.
Numbers limited to 10,000 initially.
Visual models and scaffolded examples.
Challenge tasks with six-digit numbers and reasoning questions.Pupil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</si>
  <si>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Teacher modelling.
Guided practice.
Peer discussion.
Targeted TA support for place value misconceptions.</t>
  </si>
  <si>
    <t xml:space="preserve">Ordering and comparison task.
Exit ticket using &gt;, &lt; and =.
Teacher observation.
Short quiz.</t>
  </si>
  <si>
    <t xml:space="preserve">Science</t>
  </si>
  <si>
    <t xml:space="preserve">Animals including humans: skeletons, movement &amp; nutrition (White Rose Science Y3) · Pearson Entry Level Science 8939 intro (supported entry) · ladders toward Grow ELC → GCSE Biology 1BI0 (Launch) · SoW Aut1·W1  [REALIGNED to SoW]</t>
  </si>
  <si>
    <t xml:space="preserve">I can point to parts of my body and show what I already know.</t>
  </si>
  <si>
    <t xml:space="preserve">Hands-on &amp; catch-up-proof: opens with 'point to the part'.  Baseline as a challenge circuit, not a test — four stations: point-and-name the body parts · feel your own bones · squeeze the muscle · sort food pictures. I DO: model 'this is my skull — it is a bone'. WE DO: point together, name together. YOU DO: rotate the circuit; adult ticks the symbol-supported 'what I can do' sheet — no pupil writing required. EXIT: point to one bone you can name.  NOTE: this replaces the cells baseline — the SoW places skeletons &amp; nutrition in Aut 1.</t>
  </si>
  <si>
    <t xml:space="preserve">body, bone, skull, muscle, food, point, name</t>
  </si>
  <si>
    <t xml:space="preserve">Body-part symbol cards; large body outline (floor-size); food picture cards; skeleton model or poster; 'what I can do' symbol sheet; camera; magenta copies.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</si>
  <si>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Nothing is written in week 1 — pointing, feeling and sorting only. Regulation before content.</t>
  </si>
  <si>
    <t xml:space="preserve">TA scribes the tick sheet so no pupil sees a blank page. Teacher names every part aloud each time it is touched — repetition is the method. LOOP [Feedback Policy]: Voice = point/say/sort [VF, ?] → Audience: name one body part back; [R] once received → EVIDENCE: circuit photos + tick sheet, upload same day [E: science — daily evidence platform; banks ELC 8939].</t>
  </si>
  <si>
    <t xml:space="preserve">Note who can already name a bone vs who names only 'arm/leg'.  → Influence: sets the starting rung for W2–W8 and the ELC 8939 taster decision [NS].</t>
  </si>
  <si>
    <t xml:space="preserve">PSHE / RSE</t>
  </si>
  <si>
    <t xml:space="preserve">Identity, rights &amp; British values (PSHE Association KS3, adapted) · AQA UAS 'Rights &amp; responsibilities' · ladders toward Grow PSHE · SoW Aut1·W1</t>
  </si>
  <si>
    <t xml:space="preserve">I can say what makes me ME and spot what makes us different and the same.</t>
  </si>
  <si>
    <t xml:space="preserve">Zones check-in settles every session (name the zone + face + where it sits — never colour alone, so Pupil B can use it too).  Arrival: 'find someone who…' people-bingo — walking, not writing → identity hand: trace a hand, one thing per finger (like / strength / person / place / hope) in pictures or words → same-and-different pairs game with the hands → exit: share one finger with the group or the TA (opt-out fine).  EVIDENCE: identity-hand photo (banks AQA UAS 'Rights &amp; responsibilities').  GROW STRETCH: 'Going for Grow' card — say why difference makes a class stronger.</t>
  </si>
  <si>
    <t xml:space="preserve">identity, different, same, strength, value, diversity, belong</t>
  </si>
  <si>
    <t xml:space="preserve">Zones visuals (named + positioned); people-bingo cards; big paper &amp; pens; picture/word finger cards;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</si>
  <si>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Pictures or words both count on the hand; sharing always opt-out; bingo can be done with the TA in a pair.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</si>
  <si>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co-runs bingo, scribes finger labels and keeps a quiet space open.  LOOP [Feedback Policy]: Voice = build/choose/say [VF] → Audience: name the choice back; [R] when a strength is shown for real that week → EVIDENCE: hand photo + clip, same day [E: identity/communication — daily evidence platform; banks AQA UAS].</t>
  </si>
  <si>
    <t xml:space="preserve">Influence: what pupils value about themselves feeds the whole-child profile and the W2 charter — record the change made [NS].</t>
  </si>
  <si>
    <t xml:space="preserve">RE</t>
  </si>
  <si>
    <t xml:space="preserve">Belief, festivals &amp; belonging (Kapow + RE, adapted) · ladders toward Grow RE · SoW Aut1·W1</t>
  </si>
  <si>
    <t xml:space="preserve">I can spot different beliefs and places of worship in our community.</t>
  </si>
  <si>
    <t xml:space="preserve">Arrival: mystery-building zoom photos — guess the local place (church, mosque, gurdwara, mandir — real Teesside photos) → match belief-symbol cards to the buildings on a big local map → artefact-table first look with handling rules modelled (two hands, ask first) → you do: place one symbol card on the map yourself and say who worships there → exit: point to one place + name the faith.  EVIDENCE: photo of the finished map.  GROW STRETCH: 'Going for Grow' card — name a second faith found in our community.</t>
  </si>
  <si>
    <t xml:space="preserve">belief, worship, faith, church, mosque, gurdwara, mandir, community</t>
  </si>
  <si>
    <t xml:space="preserve">Zoom photos of local places of worship; big local map; belief-symbol cards (labelled by name AND symbol); artefact table;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</si>
  <si>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Symbol cards carry the name in words too — never symbol or colour alone; pointing counts as answering on the first rung.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</si>
  <si>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models respectful artefact handling and supports the map match.  LOOP [Feedback Policy]: Voice = place/point/say [VF, ?] → Audience: name the match back; [R] once received → EVIDENCE: map photo + scribed line, same day [E: cultural/community — daily evidence platform].</t>
  </si>
  <si>
    <t xml:space="preserve">Influence: which faiths pupils recognise shapes W2's belief→action pairs and the artefact choices — record the change made [NS].</t>
  </si>
  <si>
    <t xml:space="preserve">Humanities</t>
  </si>
  <si>
    <t xml:space="preserve">Migration &amp; identity in Britain (Kapow History, adapted) · NC KS2, supported · AQA UAS 'History around us' · ladders toward Grow Humanities · SoW Aut1·W1</t>
  </si>
  <si>
    <t xml:space="preserve">I can put big migration events in order on our timeline.</t>
  </si>
  <si>
    <t xml:space="preserve">Arrival: 'old or new?' photo sort warm-up → human timeline — each pupil holds a big picture-event card (Romans, Windrush, today) and the class physically orders the line → walk the line calling the story out loud → you do: order 3 picture cards on your own strip and photograph it → exit: which came first? point-and-say.  EVIDENCE: human-timeline + strip photos.  GROW STRETCH: 'Going for Grow' card — add a date card to your strip → bridges to Grow's dated timeline.</t>
  </si>
  <si>
    <t xml:space="preserve">timeline, order, first, next, past, present, migration, Windrush</t>
  </si>
  <si>
    <t xml:space="preserve">Big picture-event cards; 'old or new?' photo pairs; timeline strips + small cards; date cards (stretch);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</si>
  <si>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3-card strips on the first rung, 5-card + date cards on the top rung; the physical line means no reading load.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</si>
  <si>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anchors one end of the human timeline and prompts the story call-out.  LOOP [Feedback Policy]: Voice = order/place/say [VF, I] → Audience: name the order back ('Romans, then…'); [R] on an accurate re-do → EVIDENCE: strip photo, same day [E: humanities — daily evidence platform; banks AQA UAS].</t>
  </si>
  <si>
    <t xml:space="preserve">Influence: who sequences unprompted vs with the line shapes W2's detective stations and the APDR target — record the change made [NS].</t>
  </si>
  <si>
    <t xml:space="preserve">Arts (Arts Award)</t>
  </si>
  <si>
    <t xml:space="preserve">Identity in art &amp; developing skills (Trinity Arts Award Explore, supported) · AQA UAS 'Creating artwork' · toward Explore completion → Bronze (Launch) · SoW Creative Arts</t>
  </si>
  <si>
    <t xml:space="preserve">I can try materials and techniques in my chosen art form and pick a favourite.</t>
  </si>
  <si>
    <t xml:space="preserve">Technique taster carousel — printing, collage, clay, mark-making, digital; texture, pattern and material offered first for Pupil B (equal routes, not fallbacks) → 'level check': place your token on the technique that felt best → start the Arts Award EXPLORE log: photo of your best taster + one comment (spoken comments scribed) → exit: name your favourite technique.  EVIDENCE: Explore log Part A entry + photos.  GROW STRETCH: 'Going for Grow' card — say WHY that technique suits your identity piece.</t>
  </si>
  <si>
    <t xml:space="preserve">technique, print, collage, clay, texture, pattern, explore, artist</t>
  </si>
  <si>
    <t xml:space="preserve">Trinity Arts Award EXPLORE log; print/collage/clay/mark-making/digital stations; token board; aprons; camera.</t>
  </si>
  <si>
    <t xml:space="preserve">S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</si>
  <si>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Token vote and pointing count as evaluation on the first rung; comments scribed or recorded.  Art identity route for Pupil B: texture, pattern, mark and material carry 'me' as fully as colour — offer them first.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</si>
  <si>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models each station and photographs stages for the log.  LOOP [Feedback Policy]: Voice = make + token + spoken/symbol comment [VF] → Audience: listen to the comment fully before tagging, then [R] → EVIDENCE: Explore log photo + comment = the accreditation evidence, same day [E: Arts Award/engagement].</t>
  </si>
  <si>
    <t xml:space="preserve">Influence: favourite techniques set the W2 skill focus; the log now builds toward EXPLORE Part A — calibrate at moderation [NS].</t>
  </si>
  <si>
    <t xml:space="preserve">PE</t>
  </si>
  <si>
    <t xml:space="preserve">ASDAN PEQ (WellbLeE3)</t>
  </si>
  <si>
    <t xml:space="preserve">ASDAN PEQ · WellbLeE3 Wellbeing in Learning (3 cr / 30 GLH) · Aut·W1 — BASELINE, no assessment</t>
  </si>
  <si>
    <t xml:space="preserve">I can show what I already do to look after myself in lessons.</t>
  </si>
  <si>
    <t xml:space="preserve">BASELINE WEEK — nothing here is assessed. ⚠️ THE COHORT IS NOT YET REGISTERED WITH ASDAN; no evidence counts until it is. Arrival: 'what helps me learn?' picture sort, purely to see where each pupil starts. Adult scribes; keep the sheets — they become the W3 starting point, not evidence.</t>
  </si>
  <si>
    <t xml:space="preserve">wellbeing, learning, help, choose, notice</t>
  </si>
  <si>
    <t xml:space="preserve">Picture-sort cards; baseline sheets; camera. ⚠️ START THE ASDAN REGISTRATION THIS WEEK.</t>
  </si>
  <si>
    <t xml:space="preserve">Symbol-supported choices; no writing demand — pupil voice scribed verbatim; photo consent walked through with symbols; take-up time; no pupil shares personal feelings publicly</t>
  </si>
  <si>
    <t xml:space="preserve">TA photographs and scribes contributions; teacher notes starting vocabulary per pupil; nothing enters the portfolio yet (cohort not registered)</t>
  </si>
  <si>
    <t xml:space="preserve">Slot 1 · Careers (ASDAN)</t>
  </si>
  <si>
    <t xml:space="preserve">Careers &amp; world of work — strengths to jobs (evidences ASDAN Living Independently M8; AQA UAS)</t>
  </si>
  <si>
    <t xml:space="preserve">I can name three of my strengths and match them to kinds of work.</t>
  </si>
  <si>
    <t xml:space="preserve">Lesson file BUILD_L1_Careers_Strengths.html: strengths sort → speed interviews → card sort with “prove it” → profile poster page 1.</t>
  </si>
  <si>
    <t xml:space="preserve">strength, skill, job, worker, employer, routine, profile, evidence</t>
  </si>
  <si>
    <t xml:space="preserve">Strength cards; local jobs photo bank; profile posters; visitor link. W1 lesson: BUILD_L1_Careers_Strengths.html (evidence print incl. Yellow Box/WWW-EBI footer).</t>
  </si>
  <si>
    <t xml:space="preserve">F (no assessment — baseline fortnight)</t>
  </si>
  <si>
    <t xml:space="preserve"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</si>
  <si>
    <t xml:space="preserve">TA runs paired talk with stems; scribes for reluctant writers (note “TA scribed”); champions Pupil A early and often.</t>
  </si>
  <si>
    <t xml:space="preserve">Slot 2 · Vocational / D&amp;T (ASDAN)</t>
  </si>
  <si>
    <t xml:space="preserve">D&amp;T via ASDAN tasters: kitchen skills → Textiles design-make-evaluate (Aut1); Construction from Aut2</t>
  </si>
  <si>
    <t xml:space="preserve">I can name kitchen tools and follow the four safety rules.</t>
  </si>
  <si>
    <t xml:space="preserve">Lesson file BUILD_L1_Vocational_Kitchen_Induction.html: tool treasure hunt → safe-carry challenge → wash-up routine → safety promise signed.</t>
  </si>
  <si>
    <t xml:space="preserve">tool, safety, hygiene, recipe, fabric, join, design, evaluate</t>
  </si>
  <si>
    <t xml:space="preserve">Kitchen + tools, PPE, recipe cards; fabrics &amp; fastenings. W1 lesson: BUILD_L1_Vocational_Kitchen_Induction.html.</t>
  </si>
  <si>
    <t xml:space="preserve">TA runs safe-carry / wash-up stations; signs skill cards only when genuinely met; models every technique first.</t>
  </si>
  <si>
    <t xml:space="preserve">Slot 3 · PfA — ASDAN Living Independently</t>
  </si>
  <si>
    <t xml:space="preserve">ASDAN LI — M1 Earning &amp; Spending Money (Aut1) → M2 Keeping Track of Your Money (Aut2); Section A: 4 challenges over ~10 hrs = 1 credit per module</t>
  </si>
  <si>
    <t xml:space="preserve">Where money comes from: I can sort income vs spending (wages, benefits, pocket money).</t>
  </si>
  <si>
    <t xml:space="preserve">Lesson file BUILD_L1_LI_Where_Money_Comes_From.html: money-map build → income vs spending sort → wage-packet counting.</t>
  </si>
  <si>
    <t xml:space="preserve">income, spending, wages, benefits, payslip, price, budget, bank</t>
  </si>
  <si>
    <t xml:space="preserve">Practice money + tins, payslip, price tags, money-map paper, spending diary; LI student book / e-portfolio. W1 lesson: BUILD_L1_LI_Where_Money_Comes_From.html.</t>
  </si>
  <si>
    <t xml:space="preserve">TA runs wage-packet counting 1:1; money talk stays judgement-free; NO personal family finances recorded.</t>
  </si>
  <si>
    <t xml:space="preserve">Slot 4 · PfA — ASDAN FoodWise</t>
  </si>
  <si>
    <t xml:space="preserve">ASDAN FoodWise — M1 Healthy Eating (Aut1) → M2 Basic Food Safety (Aut2); Section A: 4 challenges over ~10 hrs = 1 credit per module</t>
  </si>
  <si>
    <t xml:space="preserve">Food groups: I can sort foods using the Eatwell Guide and say why balance matters.</t>
  </si>
  <si>
    <t xml:space="preserve">Lesson file FW_L1_Food_Groups.html: Eatwell mat sort with real foods → balance talk → plate photo per pupil.</t>
  </si>
  <si>
    <t xml:space="preserve">food group, carbohydrate, protein, dairy, balance, label, hygiene, safety</t>
  </si>
  <si>
    <t xml:space="preserve">Eatwell mat + real foods, packaging for traffic-light labels, kitchen, display kit; FoodWise student book. SMSC anchor: World Food Day 16 Oct. W1 lesson: FW_L1_Food_Groups.html.</t>
  </si>
  <si>
    <t xml:space="preserve">TA runs food-handling hygiene checks; allergy list confirmed with the office before EVERY food session; photo evidence per pupil per practical.</t>
  </si>
  <si>
    <t xml:space="preserve">Slot 5 · Community A — Community Project &amp; Vocational</t>
  </si>
  <si>
    <t xml:space="preserve">Community Project &amp; Vocational — sustained local contribution; ASDAN/UAS community evidence. Trips/Visits policy applies to ALL off-site work (approval 4 weeks ahead, min. two staff).</t>
  </si>
  <si>
    <t xml:space="preserve">I can explore what our community project could be.</t>
  </si>
  <si>
    <t xml:space="preserve">Local-need photo prompts → what bothers us / what could we improve walk-and-talk → shortlist made.</t>
  </si>
  <si>
    <t xml:space="preserve">community, project, partner, role, responsibility, contribute, evidence</t>
  </si>
  <si>
    <t xml:space="preserve">Local partner venue; PPE as required; project log; camera. ICT embedded: digital project log.</t>
  </si>
  <si>
    <t xml:space="preserve">TA supports allocated roles and captures the weekly log; off-site checklist confirmed before leaving site every time.</t>
  </si>
  <si>
    <t xml:space="preserve">Slot 6 · Community B — Junior/Young Duke + Social Enterprise</t>
  </si>
  <si>
    <t xml:space="preserve">Junior/Young Duke (Capable Kids) challenge levels + community &amp; social enterprise action · AQA UAS “Personal challenge”.</t>
  </si>
  <si>
    <t xml:space="preserve">Launch: I can choose my Duke challenges for the year.</t>
  </si>
  <si>
    <t xml:space="preserve">Booklet browse → choose-and-pledge → pledge wall built.</t>
  </si>
  <si>
    <t xml:space="preserve">challenge, pledge, evidence, resilience, kindness, independence</t>
  </si>
  <si>
    <t xml:space="preserve">Junior/Young Duke booklets (first aid, cookery, eco, independence challenges); challenge log; camera/tablet. SMSC anchors: Anti-Bullying Week 16–20 Nov, World Kindness Day 13 Nov.</t>
  </si>
  <si>
    <t xml:space="preserve">TA witnesses and photographs each challenge attempt; tutor signs off only genuinely met challenges; pledge wall kept current.</t>
  </si>
  <si>
    <t xml:space="preserve">Enrichment &amp; wider opportunities this week   (trips, visitors, themed days, SMSC calendar link, PfA / community)</t>
  </si>
  <si>
    <t xml:space="preserve">Whole-school theme assembly: Identity &amp; Belonging.  PfA / community: a local walk — sensory regulation, community access and a relaxed chance to talk.  AHEAD: International Literacy Day Tue 8 Sep (W2).</t>
  </si>
  <si>
    <t xml:space="preserve">Resources &amp; support to prepare before the week   (printing, kit, bookings, briefing the team)</t>
  </si>
  <si>
    <t xml:space="preserve">Print/prepare: prediction &amp; trait cards, dice/arrow-card number kits, cell label cards + playdough/junk (optional jelly &amp; sweets — CHECK ALLERGIES), people-bingo &amp; identity-hand sheets, local worship-place photos + big map, migration event cards, Arts EXPLORE log pages + taster stations.  Brief TAs on Pupil A, Pupil B, Pupil C &amp; Pupil D (Zones, soft start, co-regulation, take-up time).  Confirm photo / consent permissions.</t>
  </si>
  <si>
    <t xml:space="preserve">F = formative  ·  S = summative  ·  PfA = Preparing for Adulthood  </t>
  </si>
  <si>
    <t xml:space="preserve">Student Adaptations</t>
  </si>
  <si>
    <t xml:space="preserve">Name</t>
  </si>
  <si>
    <t xml:space="preserve">Year / KS</t>
  </si>
  <si>
    <t xml:space="preserve">Reading age band</t>
  </si>
  <si>
    <t xml:space="preserve">Communication / sensory needs</t>
  </si>
  <si>
    <t xml:space="preserve">Key scaffolds &amp; adaptations</t>
  </si>
  <si>
    <t xml:space="preserve">EHCP primary outcomes</t>
  </si>
  <si>
    <t xml:space="preserve">PfA focus</t>
  </si>
  <si>
    <t xml:space="preserve">Notes</t>
  </si>
  <si>
    <t xml:space="preserve">Pupil A</t>
  </si>
  <si>
    <t xml:space="preserve">KS4</t>
  </si>
  <si>
    <t xml:space="preserve">Pupil B</t>
  </si>
  <si>
    <t xml:space="preserve">Pupil C</t>
  </si>
  <si>
    <t xml:space="preserve">Pupil D</t>
  </si>
  <si>
    <t xml:space="preserve">Outcome Tracker </t>
  </si>
  <si>
    <t xml:space="preserve">Did everyone make progress and meet the outcome? </t>
  </si>
  <si>
    <t xml:space="preserve">GREEN</t>
  </si>
  <si>
    <t xml:space="preserve">All demonstrated progress &amp; achieved the outcome</t>
  </si>
  <si>
    <t xml:space="preserve">AMBER</t>
  </si>
  <si>
    <t xml:space="preserve">Partly met, revisit in class</t>
  </si>
  <si>
    <t xml:space="preserve">RED</t>
  </si>
  <si>
    <t xml:space="preserve">Not met, pick up through intervention</t>
  </si>
  <si>
    <t xml:space="preserve">Week (w/c)</t>
  </si>
  <si>
    <t xml:space="preserve">Outcome reviewed</t>
  </si>
  <si>
    <t xml:space="preserve">Marking / evidence</t>
  </si>
  <si>
    <t xml:space="preserve">RAG</t>
  </si>
  <si>
    <t xml:space="preserve">Students not yet secure</t>
  </si>
  <si>
    <t xml:space="preserve">Picked up via</t>
  </si>
  <si>
    <t xml:space="preserve">Action &amp; timescale</t>
  </si>
  <si>
    <t xml:space="preserve">Students introduced themselves, identified a strength/support need and set one communication target.</t>
  </si>
  <si>
    <t xml:space="preserve">I can name the main parts of an animal and a plant cell.</t>
  </si>
  <si>
    <t xml:space="preserve">PEQ portfolio: photos + scribed voice + witness statements</t>
  </si>
  <si>
    <t xml:space="preserve">PfA — ASDAN LI</t>
  </si>
  <si>
    <t xml:space="preserve">LI portfolio: challenge evidence + skills grid</t>
  </si>
  <si>
    <t xml:space="preserve">PfA — ASDAN FoodWise</t>
  </si>
  <si>
    <t xml:space="preserve">FoodWise portfolio: challenge evidence + photos</t>
  </si>
  <si>
    <t xml:space="preserve">This sheet:</t>
  </si>
  <si>
    <t xml:space="preserve">Green</t>
  </si>
  <si>
    <t xml:space="preserve">Amber</t>
  </si>
  <si>
    <t xml:space="preserve">Red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</si>
</sst>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yyyy\-mm\-dd\ h:mm:ss"/>
    <numFmt numFmtId="167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66159"/>
      <name val="Arial"/>
      <family val="0"/>
      <charset val="1"/>
    </font>
    <font>
      <b val="true"/>
      <sz val="9"/>
      <color rgb="FF566159"/>
      <name val="Arial"/>
      <family val="0"/>
      <charset val="1"/>
    </font>
    <font>
      <b val="true"/>
      <sz val="10"/>
      <color rgb="FF1B2420"/>
      <name val="Arial"/>
      <family val="0"/>
      <charset val="1"/>
    </font>
    <font>
      <b val="true"/>
      <sz val="10"/>
      <color rgb="FF2E7D4F"/>
      <name val="Arial"/>
      <family val="0"/>
      <charset val="1"/>
    </font>
    <font>
      <sz val="9"/>
      <color rgb="FF2E2A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420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1B2420"/>
      <name val="Arial"/>
      <family val="0"/>
      <charset val="1"/>
    </font>
    <font>
      <sz val="9"/>
      <color rgb="FF1B2420"/>
      <name val="Arial"/>
      <family val="2"/>
      <charset val="1"/>
    </font>
    <font>
      <i val="true"/>
      <sz val="8"/>
      <color rgb="FF5661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8"/>
      <color rgb="FF5661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BE3F0"/>
        <bgColor rgb="FFEFE9F2"/>
      </patternFill>
    </fill>
    <fill>
      <patternFill patternType="solid">
        <fgColor rgb="FFEFE9F2"/>
        <bgColor rgb="FFFBE3F0"/>
      </patternFill>
    </fill>
    <fill>
      <patternFill patternType="solid">
        <fgColor rgb="FFFFFFFF"/>
        <bgColor rgb="FFF4F7F3"/>
      </patternFill>
    </fill>
    <fill>
      <patternFill patternType="solid">
        <fgColor rgb="FFF4F7F3"/>
        <bgColor rgb="FFFFFFFF"/>
      </patternFill>
    </fill>
    <fill>
      <patternFill patternType="solid">
        <fgColor rgb="FF2E7D4F"/>
        <bgColor rgb="FF1F6F7A"/>
      </patternFill>
    </fill>
    <fill>
      <patternFill patternType="solid">
        <fgColor rgb="FFD9A227"/>
        <bgColor rgb="FFB8742A"/>
      </patternFill>
    </fill>
    <fill>
      <patternFill patternType="solid">
        <fgColor rgb="FFC0392B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DC1"/>
      </bottom>
      <diagonal/>
    </border>
    <border diagonalUp="false" diagonalDown="false"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  <border diagonalUp="false" diagonalDown="false">
      <left style="thin">
        <color rgb="FFC3CDC1"/>
      </left>
      <right style="thin">
        <color rgb="FFC3CDC1"/>
      </right>
      <top style="thin">
        <color rgb="FFC3CDC1"/>
      </top>
      <bottom style="thin">
        <color rgb="FFC3CDC1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2E7D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742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6F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9A22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2A"/>
      <rgbColor rgb="FF800080"/>
      <rgbColor rgb="FF1F6F7A"/>
      <rgbColor rgb="FFC3CDC1"/>
      <rgbColor rgb="FF808080"/>
      <rgbColor rgb="FF9999FF"/>
      <rgbColor rgb="FF993366"/>
      <rgbColor rgb="FFF4F7F3"/>
      <rgbColor rgb="FFEFE9F2"/>
      <rgbColor rgb="FF660066"/>
      <rgbColor rgb="FFFF8080"/>
      <rgbColor rgb="FF0066CC"/>
      <rgbColor rgb="FFC9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F0"/>
      <rgbColor rgb="FF3366FF"/>
      <rgbColor rgb="FF33CCCC"/>
      <rgbColor rgb="FF99CC00"/>
      <rgbColor rgb="FFFFCC00"/>
      <rgbColor rgb="FFD9A227"/>
      <rgbColor rgb="FFFF6600"/>
      <rgbColor rgb="FF566159"/>
      <rgbColor rgb="FF969696"/>
      <rgbColor rgb="FF003366"/>
      <rgbColor rgb="FF2E7D4F"/>
      <rgbColor rgb="FF003300"/>
      <rgbColor rgb="FF1B2420"/>
      <rgbColor rgb="FFC0392B"/>
      <rgbColor rgb="FF993366"/>
      <rgbColor rgb="FF333399"/>
      <rgbColor rgb="FF2E2A5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J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1" activePane="bottomLeft" state="frozen"/>
      <selection pane="topLeft" activeCell="A1" activeCellId="0" sqref="A1"/>
      <selection pane="bottomLeft" activeCell="B11" activeCellId="0" sqref="B11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4" min="3" style="1" width="26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26"/>
    <col collapsed="false" customWidth="true" hidden="false" outlineLevel="0" max="10" min="9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9.5" hidden="false" customHeight="true" outlineLevel="0" collapsed="false">
      <c r="A4" s="4" t="s">
        <v>2</v>
      </c>
      <c r="B4" s="5" t="s">
        <v>3</v>
      </c>
      <c r="D4" s="1" t="n">
        <v>1</v>
      </c>
      <c r="F4" s="4" t="s">
        <v>4</v>
      </c>
      <c r="G4" s="5" t="n">
        <v>1</v>
      </c>
    </row>
    <row r="5" customFormat="false" ht="19.5" hidden="false" customHeight="true" outlineLevel="0" collapsed="false">
      <c r="A5" s="4" t="s">
        <v>5</v>
      </c>
      <c r="B5" s="5" t="s">
        <v>6</v>
      </c>
      <c r="F5" s="4" t="s">
        <v>7</v>
      </c>
      <c r="G5" s="5"/>
    </row>
    <row r="6" customFormat="false" ht="19.5" hidden="false" customHeight="true" outlineLevel="0" collapsed="false">
      <c r="A6" s="4" t="s">
        <v>8</v>
      </c>
      <c r="B6" s="6" t="str">
        <f aca="false">IF(B5="Autumn","Identity &amp; Belonging",IF(B5="Spring","Resilience &amp; Change",IF(B5="Summer","Our World, My Future","pick a term")))</f>
        <v>Identity &amp; Belonging</v>
      </c>
      <c r="C6" s="6"/>
      <c r="D6" s="6"/>
      <c r="F6" s="4" t="s">
        <v>9</v>
      </c>
      <c r="G6" s="5"/>
    </row>
    <row r="7" customFormat="false" ht="19.5" hidden="false" customHeight="true" outlineLevel="0" collapsed="false">
      <c r="A7" s="4" t="s">
        <v>10</v>
      </c>
      <c r="B7" s="7" t="n">
        <v>46266</v>
      </c>
      <c r="F7" s="4" t="s">
        <v>11</v>
      </c>
      <c r="G7" s="5"/>
    </row>
    <row r="8" customFormat="false" ht="33.75" hidden="false" customHeight="true" outlineLevel="0" collapsed="false">
      <c r="A8" s="8" t="s">
        <v>12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30" hidden="false" customHeight="true" outlineLevel="0" collapsed="false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  <c r="I9" s="9" t="s">
        <v>21</v>
      </c>
      <c r="J9" s="9" t="s">
        <v>22</v>
      </c>
    </row>
    <row r="10" customFormat="false" ht="45.75" hidden="false" customHeight="true" outlineLevel="0" collapsed="false">
      <c r="A10" s="10" t="s">
        <v>23</v>
      </c>
      <c r="B10" s="11" t="s">
        <v>24</v>
      </c>
      <c r="C10" s="11" t="s">
        <v>25</v>
      </c>
      <c r="D10" s="11" t="s">
        <v>26</v>
      </c>
      <c r="E10" s="11" t="s">
        <v>27</v>
      </c>
      <c r="F10" s="11" t="s">
        <v>28</v>
      </c>
      <c r="G10" s="12" t="s">
        <v>29</v>
      </c>
      <c r="H10" s="11" t="s">
        <v>30</v>
      </c>
      <c r="I10" s="11" t="s">
        <v>31</v>
      </c>
      <c r="J10" s="11" t="s">
        <v>32</v>
      </c>
    </row>
    <row r="11" customFormat="false" ht="330" hidden="false" customHeight="true" outlineLevel="0" collapsed="false">
      <c r="A11" s="13" t="s">
        <v>33</v>
      </c>
      <c r="B11" s="14" t="s">
        <v>34</v>
      </c>
      <c r="C11" s="14" t="s">
        <v>35</v>
      </c>
      <c r="D11" s="14" t="s">
        <v>36</v>
      </c>
      <c r="E11" s="14" t="s">
        <v>37</v>
      </c>
      <c r="F11" s="14" t="s">
        <v>38</v>
      </c>
      <c r="G11" s="15" t="s">
        <v>29</v>
      </c>
      <c r="H11" s="14" t="s">
        <v>39</v>
      </c>
      <c r="I11" s="14" t="s">
        <v>40</v>
      </c>
      <c r="J11" s="14" t="s">
        <v>41</v>
      </c>
    </row>
    <row r="12" customFormat="false" ht="339.75" hidden="false" customHeight="true" outlineLevel="0" collapsed="false">
      <c r="A12" s="10" t="s">
        <v>42</v>
      </c>
      <c r="B12" s="12" t="s">
        <v>43</v>
      </c>
      <c r="C12" s="12" t="s">
        <v>44</v>
      </c>
      <c r="D12" s="12" t="s">
        <v>45</v>
      </c>
      <c r="E12" s="12" t="s">
        <v>46</v>
      </c>
      <c r="F12" s="12" t="s">
        <v>47</v>
      </c>
      <c r="G12" s="12" t="s">
        <v>29</v>
      </c>
      <c r="H12" s="12" t="s">
        <v>48</v>
      </c>
      <c r="I12" s="12" t="s">
        <v>49</v>
      </c>
      <c r="J12" s="12" t="s">
        <v>50</v>
      </c>
    </row>
    <row r="13" customFormat="false" ht="330" hidden="false" customHeight="true" outlineLevel="0" collapsed="false">
      <c r="A13" s="13" t="s">
        <v>51</v>
      </c>
      <c r="B13" s="15" t="s">
        <v>52</v>
      </c>
      <c r="C13" s="15" t="s">
        <v>53</v>
      </c>
      <c r="D13" s="15" t="s">
        <v>54</v>
      </c>
      <c r="E13" s="15" t="s">
        <v>55</v>
      </c>
      <c r="F13" s="15" t="s">
        <v>56</v>
      </c>
      <c r="G13" s="15" t="s">
        <v>29</v>
      </c>
      <c r="H13" s="15" t="s">
        <v>57</v>
      </c>
      <c r="I13" s="15" t="s">
        <v>58</v>
      </c>
      <c r="J13" s="15" t="s">
        <v>59</v>
      </c>
    </row>
    <row r="14" customFormat="false" ht="330" hidden="false" customHeight="true" outlineLevel="0" collapsed="false">
      <c r="A14" s="10" t="s">
        <v>60</v>
      </c>
      <c r="B14" s="12" t="s">
        <v>61</v>
      </c>
      <c r="C14" s="12" t="s">
        <v>62</v>
      </c>
      <c r="D14" s="12" t="s">
        <v>63</v>
      </c>
      <c r="E14" s="12" t="s">
        <v>64</v>
      </c>
      <c r="F14" s="12" t="s">
        <v>65</v>
      </c>
      <c r="G14" s="12" t="s">
        <v>29</v>
      </c>
      <c r="H14" s="12" t="s">
        <v>66</v>
      </c>
      <c r="I14" s="12" t="s">
        <v>67</v>
      </c>
      <c r="J14" s="12" t="s">
        <v>68</v>
      </c>
    </row>
    <row r="15" customFormat="false" ht="330" hidden="false" customHeight="true" outlineLevel="0" collapsed="false">
      <c r="A15" s="13" t="s">
        <v>69</v>
      </c>
      <c r="B15" s="15" t="s">
        <v>70</v>
      </c>
      <c r="C15" s="15" t="s">
        <v>71</v>
      </c>
      <c r="D15" s="15" t="s">
        <v>72</v>
      </c>
      <c r="E15" s="15" t="s">
        <v>73</v>
      </c>
      <c r="F15" s="15" t="s">
        <v>74</v>
      </c>
      <c r="G15" s="15" t="s">
        <v>29</v>
      </c>
      <c r="H15" s="15" t="s">
        <v>75</v>
      </c>
      <c r="I15" s="15" t="s">
        <v>76</v>
      </c>
      <c r="J15" s="15" t="s">
        <v>77</v>
      </c>
    </row>
    <row r="16" customFormat="false" ht="330" hidden="false" customHeight="true" outlineLevel="0" collapsed="false">
      <c r="A16" s="10" t="s">
        <v>78</v>
      </c>
      <c r="B16" s="12" t="s">
        <v>79</v>
      </c>
      <c r="C16" s="12" t="s">
        <v>80</v>
      </c>
      <c r="D16" s="12" t="s">
        <v>81</v>
      </c>
      <c r="E16" s="12" t="s">
        <v>82</v>
      </c>
      <c r="F16" s="12" t="s">
        <v>83</v>
      </c>
      <c r="G16" s="12" t="s">
        <v>84</v>
      </c>
      <c r="H16" s="12" t="s">
        <v>85</v>
      </c>
      <c r="I16" s="12" t="s">
        <v>86</v>
      </c>
      <c r="J16" s="12" t="s">
        <v>87</v>
      </c>
    </row>
    <row r="17" customFormat="false" ht="45.75" hidden="false" customHeight="true" outlineLevel="0" collapsed="false">
      <c r="A17" s="13" t="s">
        <v>88</v>
      </c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45.75" hidden="false" customHeight="true" outlineLevel="0" collapsed="false">
      <c r="A18" s="10" t="s">
        <v>89</v>
      </c>
      <c r="B18" s="12" t="s">
        <v>90</v>
      </c>
      <c r="C18" s="12" t="s">
        <v>91</v>
      </c>
      <c r="D18" s="12" t="s">
        <v>92</v>
      </c>
      <c r="E18" s="12" t="s">
        <v>93</v>
      </c>
      <c r="F18" s="12" t="s">
        <v>94</v>
      </c>
      <c r="G18" s="12" t="s">
        <v>29</v>
      </c>
      <c r="H18" s="12" t="s">
        <v>95</v>
      </c>
      <c r="I18" s="12" t="s">
        <v>96</v>
      </c>
      <c r="J18" s="12"/>
    </row>
    <row r="19" customFormat="false" ht="45.75" hidden="false" customHeight="true" outlineLevel="0" collapsed="false">
      <c r="A19" s="10" t="s">
        <v>97</v>
      </c>
      <c r="B19" s="12" t="s">
        <v>98</v>
      </c>
      <c r="C19" s="12" t="s">
        <v>99</v>
      </c>
      <c r="D19" s="12" t="s">
        <v>100</v>
      </c>
      <c r="E19" s="12" t="s">
        <v>101</v>
      </c>
      <c r="F19" s="12" t="s">
        <v>102</v>
      </c>
      <c r="G19" s="12" t="s">
        <v>103</v>
      </c>
      <c r="H19" s="12" t="s">
        <v>104</v>
      </c>
      <c r="I19" s="12" t="s">
        <v>105</v>
      </c>
      <c r="J19" s="12"/>
    </row>
    <row r="20" customFormat="false" ht="45.75" hidden="false" customHeight="true" outlineLevel="0" collapsed="false">
      <c r="A20" s="10" t="s">
        <v>106</v>
      </c>
      <c r="B20" s="12" t="s">
        <v>107</v>
      </c>
      <c r="C20" s="12" t="s">
        <v>108</v>
      </c>
      <c r="D20" s="12" t="s">
        <v>109</v>
      </c>
      <c r="E20" s="12" t="s">
        <v>110</v>
      </c>
      <c r="F20" s="12" t="s">
        <v>111</v>
      </c>
      <c r="G20" s="12" t="s">
        <v>103</v>
      </c>
      <c r="H20" s="12" t="s">
        <v>104</v>
      </c>
      <c r="I20" s="12" t="s">
        <v>112</v>
      </c>
      <c r="J20" s="12"/>
    </row>
    <row r="21" customFormat="false" ht="45.75" hidden="false" customHeight="true" outlineLevel="0" collapsed="false">
      <c r="A21" s="10" t="s">
        <v>113</v>
      </c>
      <c r="B21" s="12" t="s">
        <v>114</v>
      </c>
      <c r="C21" s="12" t="s">
        <v>115</v>
      </c>
      <c r="D21" s="12" t="s">
        <v>116</v>
      </c>
      <c r="E21" s="12" t="s">
        <v>117</v>
      </c>
      <c r="F21" s="12" t="s">
        <v>118</v>
      </c>
      <c r="G21" s="12" t="s">
        <v>103</v>
      </c>
      <c r="H21" s="12" t="s">
        <v>104</v>
      </c>
      <c r="I21" s="12" t="s">
        <v>119</v>
      </c>
      <c r="J21" s="12"/>
    </row>
    <row r="22" customFormat="false" ht="45.75" hidden="false" customHeight="true" outlineLevel="0" collapsed="false">
      <c r="A22" s="10" t="s">
        <v>120</v>
      </c>
      <c r="B22" s="12" t="s">
        <v>121</v>
      </c>
      <c r="C22" s="12" t="s">
        <v>122</v>
      </c>
      <c r="D22" s="12" t="s">
        <v>123</v>
      </c>
      <c r="E22" s="12" t="s">
        <v>124</v>
      </c>
      <c r="F22" s="12" t="s">
        <v>125</v>
      </c>
      <c r="G22" s="12" t="s">
        <v>103</v>
      </c>
      <c r="H22" s="12" t="s">
        <v>104</v>
      </c>
      <c r="I22" s="12" t="s">
        <v>126</v>
      </c>
      <c r="J22" s="12"/>
    </row>
    <row r="23" customFormat="false" ht="45.75" hidden="false" customHeight="true" outlineLevel="0" collapsed="false">
      <c r="A23" s="10" t="s">
        <v>127</v>
      </c>
      <c r="B23" s="12" t="s">
        <v>128</v>
      </c>
      <c r="C23" s="12" t="s">
        <v>129</v>
      </c>
      <c r="D23" s="12" t="s">
        <v>130</v>
      </c>
      <c r="E23" s="12" t="s">
        <v>131</v>
      </c>
      <c r="F23" s="12" t="s">
        <v>132</v>
      </c>
      <c r="G23" s="12" t="s">
        <v>103</v>
      </c>
      <c r="H23" s="12" t="s">
        <v>104</v>
      </c>
      <c r="I23" s="12" t="s">
        <v>133</v>
      </c>
      <c r="J23" s="12"/>
    </row>
    <row r="24" customFormat="false" ht="45.75" hidden="false" customHeight="true" outlineLevel="0" collapsed="false">
      <c r="A24" s="10" t="s">
        <v>134</v>
      </c>
      <c r="B24" s="12" t="s">
        <v>135</v>
      </c>
      <c r="C24" s="12" t="s">
        <v>136</v>
      </c>
      <c r="D24" s="12" t="s">
        <v>137</v>
      </c>
      <c r="E24" s="12" t="s">
        <v>138</v>
      </c>
      <c r="F24" s="12" t="s">
        <v>139</v>
      </c>
      <c r="G24" s="12" t="s">
        <v>103</v>
      </c>
      <c r="H24" s="12" t="s">
        <v>104</v>
      </c>
      <c r="I24" s="12" t="s">
        <v>140</v>
      </c>
      <c r="J24" s="12"/>
    </row>
    <row r="26" customFormat="false" ht="18" hidden="false" customHeight="true" outlineLevel="0" collapsed="false">
      <c r="A26" s="16" t="s">
        <v>141</v>
      </c>
      <c r="B26" s="16"/>
      <c r="C26" s="16"/>
      <c r="D26" s="16"/>
      <c r="E26" s="16"/>
      <c r="F26" s="16"/>
      <c r="G26" s="16"/>
      <c r="H26" s="16"/>
      <c r="I26" s="16"/>
      <c r="J26" s="16"/>
    </row>
    <row r="27" customFormat="false" ht="39.75" hidden="false" customHeight="true" outlineLevel="0" collapsed="false">
      <c r="A27" s="17" t="s">
        <v>142</v>
      </c>
      <c r="B27" s="17"/>
      <c r="C27" s="17"/>
      <c r="D27" s="17"/>
      <c r="E27" s="17"/>
      <c r="F27" s="17"/>
      <c r="G27" s="17"/>
      <c r="H27" s="17"/>
      <c r="I27" s="17"/>
      <c r="J27" s="17"/>
    </row>
    <row r="28" customFormat="false" ht="18" hidden="false" customHeight="true" outlineLevel="0" collapsed="false">
      <c r="A28" s="16" t="s">
        <v>143</v>
      </c>
      <c r="B28" s="16"/>
      <c r="C28" s="16"/>
      <c r="D28" s="16"/>
      <c r="E28" s="16"/>
      <c r="F28" s="16"/>
      <c r="G28" s="16"/>
      <c r="H28" s="16"/>
      <c r="I28" s="16"/>
      <c r="J28" s="16"/>
    </row>
    <row r="29" customFormat="false" ht="39.75" hidden="false" customHeight="true" outlineLevel="0" collapsed="false">
      <c r="A29" s="18" t="s">
        <v>144</v>
      </c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8" hidden="false" customHeight="true" outlineLevel="0" collapsed="false">
      <c r="A30" s="19" t="s">
        <v>145</v>
      </c>
      <c r="B30" s="19"/>
      <c r="C30" s="19"/>
      <c r="D30" s="19"/>
      <c r="E30" s="19"/>
      <c r="F30" s="19"/>
      <c r="G30" s="19"/>
      <c r="H30" s="19"/>
      <c r="I30" s="19"/>
      <c r="J30" s="19"/>
    </row>
  </sheetData>
  <mergeCells count="9">
    <mergeCell ref="A1:J1"/>
    <mergeCell ref="A2:J2"/>
    <mergeCell ref="B6:D6"/>
    <mergeCell ref="A8:J8"/>
    <mergeCell ref="A26:J26"/>
    <mergeCell ref="A27:J27"/>
    <mergeCell ref="A28:J28"/>
    <mergeCell ref="A29:J29"/>
    <mergeCell ref="A30:J30"/>
  </mergeCells>
  <dataValidations count="4">
    <dataValidation allowBlank="true" error="Pick a value from the list." errorStyle="stop" errorTitle="Choose from the list" operator="between" showDropDown="false" showErrorMessage="false" showInputMessage="false" sqref="B4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B5" type="list">
      <formula1>"Autumn,Spring,Summer"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A10:A18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G10:G18" type="list">
      <formula1>"F,S,F + 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I6" activeCellId="0" sqref="I6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26"/>
    <col collapsed="false" customWidth="true" hidden="false" outlineLevel="0" max="7" min="6" style="1" width="36"/>
    <col collapsed="false" customWidth="true" hidden="false" outlineLevel="0" max="8" min="8" style="1" width="22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20" t="s">
        <v>146</v>
      </c>
      <c r="B1" s="20"/>
      <c r="C1" s="20"/>
      <c r="D1" s="20"/>
      <c r="E1" s="20"/>
      <c r="F1" s="20"/>
      <c r="G1" s="20"/>
      <c r="H1" s="20"/>
      <c r="I1" s="20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9" t="s">
        <v>147</v>
      </c>
      <c r="B4" s="9" t="s">
        <v>2</v>
      </c>
      <c r="C4" s="9" t="s">
        <v>148</v>
      </c>
      <c r="D4" s="9" t="s">
        <v>149</v>
      </c>
      <c r="E4" s="9" t="s">
        <v>150</v>
      </c>
      <c r="F4" s="9" t="s">
        <v>151</v>
      </c>
      <c r="G4" s="9" t="s">
        <v>152</v>
      </c>
      <c r="H4" s="9" t="s">
        <v>153</v>
      </c>
      <c r="I4" s="9" t="s">
        <v>154</v>
      </c>
    </row>
    <row r="5" customFormat="false" ht="174.75" hidden="false" customHeight="true" outlineLevel="0" collapsed="false">
      <c r="A5" s="10" t="s">
        <v>155</v>
      </c>
      <c r="B5" s="12" t="s">
        <v>3</v>
      </c>
      <c r="C5" s="12" t="s">
        <v>156</v>
      </c>
      <c r="D5" s="21"/>
      <c r="E5" s="21"/>
      <c r="F5" s="21"/>
      <c r="G5" s="21"/>
      <c r="H5" s="21"/>
      <c r="I5" s="21"/>
    </row>
    <row r="6" customFormat="false" ht="174.75" hidden="false" customHeight="true" outlineLevel="0" collapsed="false">
      <c r="A6" s="10" t="s">
        <v>157</v>
      </c>
      <c r="B6" s="12" t="s">
        <v>3</v>
      </c>
      <c r="C6" s="12" t="s">
        <v>156</v>
      </c>
      <c r="D6" s="21"/>
      <c r="E6" s="21"/>
      <c r="F6" s="21"/>
      <c r="G6" s="21"/>
      <c r="H6" s="21"/>
      <c r="I6" s="21"/>
    </row>
    <row r="7" customFormat="false" ht="174.75" hidden="false" customHeight="true" outlineLevel="0" collapsed="false">
      <c r="A7" s="10" t="s">
        <v>158</v>
      </c>
      <c r="B7" s="12" t="s">
        <v>3</v>
      </c>
      <c r="C7" s="12" t="s">
        <v>156</v>
      </c>
      <c r="D7" s="21"/>
      <c r="E7" s="21"/>
      <c r="F7" s="21"/>
      <c r="G7" s="21"/>
      <c r="H7" s="21"/>
      <c r="I7" s="21"/>
    </row>
    <row r="8" customFormat="false" ht="174.75" hidden="false" customHeight="true" outlineLevel="0" collapsed="false">
      <c r="A8" s="10" t="s">
        <v>159</v>
      </c>
      <c r="B8" s="12" t="s">
        <v>3</v>
      </c>
      <c r="C8" s="12" t="s">
        <v>156</v>
      </c>
      <c r="D8" s="21"/>
      <c r="E8" s="21"/>
      <c r="F8" s="21"/>
      <c r="G8" s="21"/>
      <c r="H8" s="21"/>
      <c r="I8" s="21"/>
    </row>
    <row r="9" customFormat="false" ht="30" hidden="false" customHeight="true" outlineLevel="0" collapsed="false">
      <c r="A9" s="22"/>
      <c r="B9" s="22"/>
      <c r="C9" s="22"/>
      <c r="D9" s="22"/>
      <c r="E9" s="22"/>
      <c r="F9" s="22"/>
      <c r="G9" s="22"/>
      <c r="H9" s="22"/>
      <c r="I9" s="22"/>
    </row>
    <row r="10" customFormat="false" ht="30" hidden="false" customHeight="true" outlineLevel="0" collapsed="false">
      <c r="A10" s="23"/>
      <c r="B10" s="23"/>
      <c r="C10" s="23"/>
      <c r="D10" s="23"/>
      <c r="E10" s="23"/>
      <c r="F10" s="23"/>
      <c r="G10" s="23"/>
      <c r="H10" s="23"/>
      <c r="I10" s="23"/>
    </row>
    <row r="11" customFormat="false" ht="30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</row>
    <row r="12" customFormat="false" ht="30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</row>
    <row r="13" customFormat="false" ht="30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</row>
    <row r="14" customFormat="false" ht="30" hidden="false" customHeight="true" outlineLevel="0" collapsed="false">
      <c r="A14" s="23"/>
      <c r="B14" s="23"/>
      <c r="C14" s="23"/>
      <c r="D14" s="23"/>
      <c r="E14" s="23"/>
      <c r="F14" s="23"/>
      <c r="G14" s="23"/>
      <c r="H14" s="23"/>
      <c r="I14" s="23"/>
    </row>
    <row r="15" customFormat="false" ht="30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</row>
    <row r="16" customFormat="false" ht="30" hidden="false" customHeight="true" outlineLevel="0" collapsed="false">
      <c r="A16" s="23"/>
      <c r="B16" s="23"/>
      <c r="C16" s="23"/>
      <c r="D16" s="23"/>
      <c r="E16" s="23"/>
      <c r="F16" s="23"/>
      <c r="G16" s="23"/>
      <c r="H16" s="23"/>
      <c r="I16" s="23"/>
    </row>
    <row r="17" customFormat="false" ht="30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</row>
    <row r="18" customFormat="false" ht="30" hidden="false" customHeight="true" outlineLevel="0" collapsed="false">
      <c r="A18" s="23"/>
      <c r="B18" s="23"/>
      <c r="C18" s="23"/>
      <c r="D18" s="23"/>
      <c r="E18" s="23"/>
      <c r="F18" s="23"/>
      <c r="G18" s="23"/>
      <c r="H18" s="23"/>
      <c r="I18" s="23"/>
    </row>
    <row r="19" customFormat="false" ht="30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</row>
  </sheetData>
  <mergeCells count="2">
    <mergeCell ref="A1:I1"/>
    <mergeCell ref="A2:I2"/>
  </mergeCells>
  <conditionalFormatting sqref="B5:B19">
    <cfRule type="cellIs" priority="2" operator="equal" aboveAverage="0" equalAverage="0" bottom="0" percent="0" rank="0" text="" dxfId="0">
      <formula>"BUILD"</formula>
    </cfRule>
    <cfRule type="cellIs" priority="3" operator="equal" aboveAverage="0" equalAverage="0" bottom="0" percent="0" rank="0" text="" dxfId="1">
      <formula>"GROW"</formula>
    </cfRule>
    <cfRule type="cellIs" priority="4" operator="equal" aboveAverage="0" equalAverage="0" bottom="0" percent="0" rank="0" text="" dxfId="2">
      <formula>"LAUNCH"</formula>
    </cfRule>
  </conditionalFormatting>
  <dataValidations count="1">
    <dataValidation allowBlank="true" error="Pick a value from the list." errorStyle="stop" errorTitle="Choose from the list" operator="between" showDropDown="false" showErrorMessage="false" showInputMessage="false" sqref="B5:B19" type="list">
      <formula1>"BUILD,GROW,LAUNCH"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12" activeCellId="0" sqref="E12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18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24" t="s">
        <v>160</v>
      </c>
      <c r="B1" s="24"/>
      <c r="C1" s="24"/>
      <c r="D1" s="24"/>
      <c r="E1" s="24"/>
      <c r="F1" s="24"/>
      <c r="G1" s="24"/>
      <c r="H1" s="24"/>
      <c r="I1" s="24"/>
    </row>
    <row r="2" customFormat="false" ht="14.25" hidden="false" customHeight="true" outlineLevel="0" collapsed="false">
      <c r="A2" s="25" t="s">
        <v>161</v>
      </c>
      <c r="B2" s="25"/>
      <c r="C2" s="25"/>
      <c r="D2" s="25"/>
      <c r="E2" s="25"/>
      <c r="F2" s="25"/>
      <c r="G2" s="25"/>
      <c r="H2" s="25"/>
      <c r="I2" s="25"/>
    </row>
    <row r="3" customFormat="false" ht="18" hidden="false" customHeight="true" outlineLevel="0" collapsed="false">
      <c r="A3" s="26" t="s">
        <v>162</v>
      </c>
      <c r="B3" s="27" t="s">
        <v>163</v>
      </c>
      <c r="C3" s="27"/>
      <c r="D3" s="28" t="s">
        <v>164</v>
      </c>
      <c r="E3" s="27" t="s">
        <v>165</v>
      </c>
      <c r="F3" s="27"/>
      <c r="G3" s="29" t="s">
        <v>166</v>
      </c>
      <c r="H3" s="27" t="s">
        <v>167</v>
      </c>
      <c r="I3" s="27"/>
    </row>
    <row r="5" customFormat="false" ht="27.75" hidden="false" customHeight="true" outlineLevel="0" collapsed="false">
      <c r="A5" s="9" t="s">
        <v>168</v>
      </c>
      <c r="B5" s="9" t="s">
        <v>2</v>
      </c>
      <c r="C5" s="9" t="s">
        <v>13</v>
      </c>
      <c r="D5" s="9" t="s">
        <v>169</v>
      </c>
      <c r="E5" s="9" t="s">
        <v>170</v>
      </c>
      <c r="F5" s="9" t="s">
        <v>171</v>
      </c>
      <c r="G5" s="9" t="s">
        <v>172</v>
      </c>
      <c r="H5" s="9" t="s">
        <v>173</v>
      </c>
      <c r="I5" s="9" t="s">
        <v>174</v>
      </c>
    </row>
    <row r="6" customFormat="false" ht="30" hidden="false" customHeight="true" outlineLevel="0" collapsed="false">
      <c r="A6" s="30" t="n">
        <v>46266</v>
      </c>
      <c r="B6" s="31" t="s">
        <v>3</v>
      </c>
      <c r="C6" s="31" t="s">
        <v>23</v>
      </c>
      <c r="D6" s="11" t="s">
        <v>175</v>
      </c>
      <c r="E6" s="23"/>
      <c r="F6" s="23"/>
      <c r="G6" s="23"/>
      <c r="H6" s="23"/>
      <c r="I6" s="23"/>
    </row>
    <row r="7" customFormat="false" ht="30" hidden="false" customHeight="true" outlineLevel="0" collapsed="false">
      <c r="A7" s="30" t="n">
        <v>46266</v>
      </c>
      <c r="B7" s="12" t="s">
        <v>3</v>
      </c>
      <c r="C7" s="12" t="s">
        <v>33</v>
      </c>
      <c r="D7" s="32" t="s">
        <v>35</v>
      </c>
      <c r="E7" s="23"/>
      <c r="F7" s="23"/>
      <c r="G7" s="23"/>
      <c r="H7" s="23"/>
      <c r="I7" s="23"/>
    </row>
    <row r="8" customFormat="false" ht="30" hidden="false" customHeight="true" outlineLevel="0" collapsed="false">
      <c r="A8" s="30" t="n">
        <v>46266</v>
      </c>
      <c r="B8" s="12" t="s">
        <v>3</v>
      </c>
      <c r="C8" s="12" t="s">
        <v>42</v>
      </c>
      <c r="D8" s="12" t="s">
        <v>176</v>
      </c>
      <c r="E8" s="12"/>
      <c r="F8" s="12"/>
      <c r="G8" s="12"/>
      <c r="H8" s="12"/>
      <c r="I8" s="12"/>
    </row>
    <row r="9" customFormat="false" ht="30" hidden="false" customHeight="true" outlineLevel="0" collapsed="false">
      <c r="A9" s="30" t="n">
        <v>46266</v>
      </c>
      <c r="B9" s="12" t="s">
        <v>3</v>
      </c>
      <c r="C9" s="12" t="s">
        <v>51</v>
      </c>
      <c r="D9" s="12" t="s">
        <v>53</v>
      </c>
      <c r="E9" s="12"/>
      <c r="F9" s="12"/>
      <c r="G9" s="12"/>
      <c r="H9" s="12"/>
      <c r="I9" s="12"/>
    </row>
    <row r="10" customFormat="false" ht="30" hidden="false" customHeight="true" outlineLevel="0" collapsed="false">
      <c r="A10" s="30" t="n">
        <v>46266</v>
      </c>
      <c r="B10" s="12" t="s">
        <v>3</v>
      </c>
      <c r="C10" s="12" t="s">
        <v>69</v>
      </c>
      <c r="D10" s="12" t="s">
        <v>71</v>
      </c>
      <c r="E10" s="12"/>
      <c r="F10" s="12"/>
      <c r="G10" s="12"/>
      <c r="H10" s="12"/>
      <c r="I10" s="12"/>
    </row>
    <row r="11" customFormat="false" ht="30" hidden="false" customHeight="true" outlineLevel="0" collapsed="false">
      <c r="A11" s="30" t="n">
        <v>46266</v>
      </c>
      <c r="B11" s="12" t="s">
        <v>3</v>
      </c>
      <c r="C11" s="12" t="s">
        <v>78</v>
      </c>
      <c r="D11" s="12" t="s">
        <v>80</v>
      </c>
      <c r="E11" s="12"/>
      <c r="F11" s="12"/>
      <c r="G11" s="12"/>
      <c r="H11" s="12"/>
      <c r="I11" s="12"/>
    </row>
    <row r="12" customFormat="false" ht="30" hidden="false" customHeight="true" outlineLevel="0" collapsed="false">
      <c r="A12" s="30" t="n">
        <v>46266</v>
      </c>
      <c r="B12" s="12" t="s">
        <v>3</v>
      </c>
      <c r="C12" s="33" t="s">
        <v>60</v>
      </c>
      <c r="D12" s="12" t="s">
        <v>62</v>
      </c>
      <c r="E12" s="22"/>
      <c r="F12" s="22"/>
      <c r="G12" s="22"/>
      <c r="H12" s="22"/>
      <c r="I12" s="22"/>
    </row>
    <row r="13" customFormat="false" ht="30" hidden="false" customHeight="true" outlineLevel="0" collapsed="false">
      <c r="A13" s="34" t="n">
        <v>46266</v>
      </c>
      <c r="B13" s="33" t="s">
        <v>3</v>
      </c>
      <c r="C13" s="33" t="s">
        <v>89</v>
      </c>
      <c r="D13" s="22" t="s">
        <v>91</v>
      </c>
      <c r="E13" s="22" t="s">
        <v>177</v>
      </c>
      <c r="F13" s="22"/>
      <c r="G13" s="22"/>
      <c r="H13" s="22"/>
      <c r="I13" s="22"/>
    </row>
    <row r="14" customFormat="false" ht="30" hidden="false" customHeight="true" outlineLevel="0" collapsed="false">
      <c r="A14" s="35" t="n">
        <v>46266</v>
      </c>
      <c r="B14" s="31" t="s">
        <v>3</v>
      </c>
      <c r="C14" s="31" t="s">
        <v>178</v>
      </c>
      <c r="D14" s="23" t="s">
        <v>115</v>
      </c>
      <c r="E14" s="23" t="s">
        <v>179</v>
      </c>
      <c r="F14" s="23"/>
      <c r="G14" s="23"/>
      <c r="H14" s="23"/>
      <c r="I14" s="23"/>
    </row>
    <row r="15" customFormat="false" ht="25.5" hidden="false" customHeight="true" outlineLevel="0" collapsed="false">
      <c r="A15" s="34" t="n">
        <v>46266</v>
      </c>
      <c r="B15" s="33" t="s">
        <v>3</v>
      </c>
      <c r="C15" s="33" t="s">
        <v>180</v>
      </c>
      <c r="D15" s="22" t="s">
        <v>122</v>
      </c>
      <c r="E15" s="22" t="s">
        <v>181</v>
      </c>
      <c r="F15" s="22"/>
      <c r="G15" s="22"/>
      <c r="H15" s="22"/>
      <c r="I15" s="22"/>
    </row>
    <row r="16" customFormat="false" ht="25.5" hidden="false" customHeight="true" outlineLevel="0" collapsed="false">
      <c r="A16" s="23"/>
      <c r="B16" s="31"/>
      <c r="C16" s="31"/>
      <c r="D16" s="23"/>
      <c r="E16" s="23"/>
      <c r="F16" s="23"/>
      <c r="G16" s="23"/>
      <c r="H16" s="23"/>
      <c r="I16" s="23"/>
    </row>
    <row r="17" customFormat="false" ht="25.5" hidden="false" customHeight="true" outlineLevel="0" collapsed="false">
      <c r="A17" s="22"/>
      <c r="B17" s="33"/>
      <c r="C17" s="33"/>
      <c r="D17" s="22"/>
      <c r="E17" s="22"/>
      <c r="F17" s="22"/>
      <c r="G17" s="22"/>
      <c r="H17" s="22"/>
      <c r="I17" s="22"/>
    </row>
    <row r="18" customFormat="false" ht="25.5" hidden="false" customHeight="true" outlineLevel="0" collapsed="false">
      <c r="A18" s="23"/>
      <c r="B18" s="31"/>
      <c r="C18" s="31"/>
      <c r="D18" s="23"/>
      <c r="E18" s="23"/>
      <c r="F18" s="23"/>
      <c r="G18" s="23"/>
      <c r="H18" s="23"/>
      <c r="I18" s="23"/>
    </row>
    <row r="19" customFormat="false" ht="25.5" hidden="false" customHeight="true" outlineLevel="0" collapsed="false">
      <c r="A19" s="22"/>
      <c r="B19" s="33"/>
      <c r="C19" s="33"/>
      <c r="D19" s="22"/>
      <c r="E19" s="22"/>
      <c r="F19" s="22"/>
      <c r="G19" s="22"/>
      <c r="H19" s="22"/>
      <c r="I19" s="22"/>
    </row>
    <row r="20" customFormat="false" ht="25.5" hidden="false" customHeight="true" outlineLevel="0" collapsed="false">
      <c r="A20" s="23"/>
      <c r="B20" s="31"/>
      <c r="C20" s="31"/>
      <c r="D20" s="23"/>
      <c r="E20" s="23"/>
      <c r="F20" s="23"/>
      <c r="G20" s="23"/>
      <c r="H20" s="23"/>
      <c r="I20" s="23"/>
    </row>
    <row r="21" customFormat="false" ht="25.5" hidden="false" customHeight="true" outlineLevel="0" collapsed="false">
      <c r="A21" s="22"/>
      <c r="B21" s="33"/>
      <c r="C21" s="33"/>
      <c r="D21" s="22"/>
      <c r="E21" s="22"/>
      <c r="F21" s="22"/>
      <c r="G21" s="22"/>
      <c r="H21" s="22"/>
      <c r="I21" s="22"/>
    </row>
    <row r="22" customFormat="false" ht="25.5" hidden="false" customHeight="true" outlineLevel="0" collapsed="false"/>
    <row r="23" customFormat="false" ht="25.5" hidden="false" customHeight="true" outlineLevel="0" collapsed="false">
      <c r="C23" s="36" t="s">
        <v>182</v>
      </c>
      <c r="D23" s="37" t="n">
        <f aca="false">COUNTIF($F$8:$F$18,"Green")</f>
        <v>0</v>
      </c>
      <c r="E23" s="38" t="n">
        <f aca="false">COUNTIF($F$8:$F$18,"Amber")</f>
        <v>0</v>
      </c>
      <c r="F23" s="39" t="n">
        <f aca="false">COUNTIF($F$8:$F$18,"Red")</f>
        <v>0</v>
      </c>
    </row>
    <row r="24" customFormat="false" ht="25.5" hidden="false" customHeight="true" outlineLevel="0" collapsed="false">
      <c r="D24" s="40" t="s">
        <v>183</v>
      </c>
      <c r="E24" s="40" t="s">
        <v>184</v>
      </c>
      <c r="F24" s="40" t="s">
        <v>185</v>
      </c>
    </row>
    <row r="25" customFormat="false" ht="25.5" hidden="false" customHeight="true" outlineLevel="0" collapsed="false"/>
    <row r="26" customFormat="false" ht="25.5" hidden="false" customHeight="true" outlineLevel="0" collapsed="false"/>
  </sheetData>
  <mergeCells count="5">
    <mergeCell ref="A1:I1"/>
    <mergeCell ref="A2:I2"/>
    <mergeCell ref="B3:C3"/>
    <mergeCell ref="E3:F3"/>
    <mergeCell ref="H3:I3"/>
  </mergeCells>
  <conditionalFormatting sqref="F6:F26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3">
      <formula>"Amber"</formula>
    </cfRule>
    <cfRule type="cellIs" priority="4" operator="equal" aboveAverage="0" equalAverage="0" bottom="0" percent="0" rank="0" text="" dxfId="4">
      <formula>"Red"</formula>
    </cfRule>
  </conditionalFormatting>
  <dataValidations count="4">
    <dataValidation allowBlank="true" error="Pick a value from the list." errorStyle="stop" errorTitle="Choose from the list" operator="between" showDropDown="false" showErrorMessage="false" showInputMessage="false" sqref="B6:B26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C6:C26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F6:F26" type="list">
      <formula1>"Green,Amber,Red"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H6:H26" type="list">
      <formula1>"Achieved (move on),Revisit in class,Intervention"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2026-06-22T07:46:21Z</dcterms:created>
  <dc:creator>openpyxl</dc:creator>
  <dc:description/>
  <dc:language>en-US</dc:language>
  <cp:lastModifiedBy>Helen Stewart</cp:lastModifiedBy>
  <dcterms:modified xsi:type="dcterms:W3CDTF">2026-07-15T11:04:50Z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0x0101002C6E38C4B2056147BFEE88C7F682B392</vt:lpwstr>
  </property>
  <property fmtid="{D5CDD505-2E9C-101B-9397-08002B2CF9AE}" pid="3" name="MediaServiceImageTags">
    <vt:lpwstr/>
  </property>
</Properties>
</file>