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4">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8"/>
    </font>
    <font>
      <name val="Arial"/>
      <charset val="1"/>
      <family val="2"/>
      <color rgb="FF566159"/>
      <sz val="10"/>
    </font>
    <font>
      <name val="Arial"/>
      <charset val="1"/>
      <family val="2"/>
      <b val="1"/>
      <color rgb="FF566159"/>
      <sz val="9"/>
    </font>
    <font>
      <name val="Arial"/>
      <charset val="1"/>
      <family val="2"/>
      <b val="1"/>
      <color rgb="FF1B2420"/>
      <sz val="10"/>
    </font>
    <font>
      <name val="Arial"/>
      <charset val="1"/>
      <family val="2"/>
      <b val="1"/>
      <color rgb="FF2E7D4F"/>
      <sz val="10"/>
    </font>
    <font>
      <name val="Arial"/>
      <charset val="1"/>
      <family val="0"/>
      <color rgb="FF2E2A5D"/>
      <sz val="9"/>
    </font>
    <font>
      <name val="Arial"/>
      <charset val="1"/>
      <family val="2"/>
      <b val="1"/>
      <color rgb="FFFFFFFF"/>
      <sz val="9"/>
    </font>
    <font>
      <name val="Arial"/>
      <charset val="1"/>
      <family val="2"/>
      <b val="1"/>
      <color rgb="FF1B2420"/>
      <sz val="9"/>
    </font>
    <font>
      <name val="Calibri"/>
      <charset val="1"/>
      <family val="2"/>
      <color rgb="FF000000"/>
      <sz val="10"/>
    </font>
    <font>
      <name val="Arial"/>
      <charset val="1"/>
      <family val="2"/>
      <color rgb="FF1B2420"/>
      <sz val="9"/>
    </font>
    <font>
      <name val="Arial"/>
      <charset val="1"/>
      <family val="2"/>
      <color theme="1"/>
      <sz val="9"/>
    </font>
    <font>
      <name val="Arial"/>
      <charset val="1"/>
      <family val="2"/>
      <color rgb="FF566159"/>
      <sz val="8"/>
    </font>
    <font>
      <name val="Arial"/>
      <charset val="1"/>
      <family val="2"/>
      <i val="1"/>
      <color rgb="FF566159"/>
      <sz val="8"/>
    </font>
    <font>
      <name val="Arial"/>
      <charset val="1"/>
      <family val="2"/>
      <b val="1"/>
      <color rgb="FFFFFFFF"/>
      <sz val="16"/>
    </font>
    <font>
      <name val="Open Sans"/>
      <charset val="1"/>
      <family val="0"/>
      <color rgb="FF1F2A44"/>
      <sz val="9"/>
    </font>
    <font>
      <name val="Arial"/>
      <charset val="1"/>
      <family val="0"/>
      <color theme="1"/>
      <sz val="9"/>
    </font>
    <font>
      <name val="Arial"/>
      <charset val="1"/>
      <family val="2"/>
      <sz val="10"/>
    </font>
    <font>
      <name val="Arial"/>
      <charset val="1"/>
      <family val="2"/>
      <sz val="9"/>
    </font>
    <font>
      <name val="Arial"/>
      <charset val="1"/>
      <family val="2"/>
      <b val="1"/>
      <color theme="1"/>
      <sz val="9"/>
    </font>
    <font>
      <name val="Arial"/>
      <charset val="1"/>
      <family val="2"/>
      <b val="1"/>
      <color rgb="FFFFFFFF"/>
      <sz val="10"/>
    </font>
  </fonts>
  <fills count="11">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7FBF7"/>
      </patternFill>
    </fill>
    <fill>
      <patternFill patternType="solid">
        <fgColor rgb="FFF7FBF7"/>
        <bgColor rgb="FFF4F7F3"/>
      </patternFill>
    </fill>
    <fill>
      <patternFill patternType="solid">
        <fgColor rgb="FFF4F7F3"/>
        <bgColor rgb="FFF7FBF7"/>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6">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diagonal/>
    </border>
    <border>
      <left style="thin"/>
      <right style="thin"/>
      <top style="thin"/>
      <bottom style="thin"/>
      <diagonal/>
    </border>
    <border>
      <left style="thin">
        <color rgb="FFC3CDC1"/>
      </left>
      <right style="thin">
        <color rgb="FFC3CDC1"/>
      </right>
      <top/>
      <bottom style="thin">
        <color rgb="FFC3CDC1"/>
      </bottom>
      <diagonal/>
    </border>
    <border>
      <left style="thin">
        <color rgb="FFC3CDC1"/>
      </left>
      <right style="thin">
        <color rgb="FFC3CDC1"/>
      </right>
      <top style="thin">
        <color rgb="FFC3CDC1"/>
      </top>
      <bottom style="thin">
        <color rgb="FFC3CDC1"/>
      </bottom>
      <diagonal/>
    </border>
    <border>
      <left style="thin">
        <color rgb="FFC3CDC1"/>
      </left>
      <right/>
      <top style="thin">
        <color rgb="FFC3CDC1"/>
      </top>
      <bottom style="thin">
        <color rgb="FFC3CDC1"/>
      </bottom>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6" borderId="0" applyAlignment="1" pivotButton="0" quotePrefix="0" xfId="0">
      <alignment horizontal="general" vertical="bottom" wrapText="1"/>
    </xf>
    <xf numFmtId="0" fontId="13" fillId="5" borderId="4" applyAlignment="1" pivotButton="0" quotePrefix="0" xfId="0">
      <alignment horizontal="left" vertical="center" wrapText="1"/>
    </xf>
    <xf numFmtId="0" fontId="11" fillId="7" borderId="5" applyAlignment="1" pivotButton="0" quotePrefix="0" xfId="0">
      <alignment horizontal="left" vertical="center" wrapText="1"/>
    </xf>
    <xf numFmtId="0" fontId="13" fillId="7" borderId="5" applyAlignment="1" pivotButton="0" quotePrefix="0" xfId="0">
      <alignment horizontal="left" vertical="center" wrapText="1"/>
    </xf>
    <xf numFmtId="0" fontId="14" fillId="7"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7" borderId="6" applyAlignment="1" pivotButton="0" quotePrefix="0" xfId="0">
      <alignment horizontal="left" vertical="center" wrapText="1"/>
    </xf>
    <xf numFmtId="0" fontId="13" fillId="7"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7" borderId="6" applyAlignment="1" pivotButton="0" quotePrefix="0" xfId="0">
      <alignment horizontal="general" vertical="top" wrapText="1"/>
    </xf>
    <xf numFmtId="0" fontId="15" fillId="7" borderId="6"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9" fillId="0" borderId="4" applyAlignment="1" pivotButton="0" quotePrefix="0" xfId="0">
      <alignment horizontal="general"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20" fillId="0" borderId="0" applyAlignment="1" pivotButton="0" quotePrefix="0" xfId="0">
      <alignment horizontal="left" vertical="center"/>
    </xf>
    <xf numFmtId="0" fontId="10" fillId="8" borderId="0" applyAlignment="1" pivotButton="0" quotePrefix="0" xfId="0">
      <alignment horizontal="center" vertical="center"/>
    </xf>
    <xf numFmtId="0" fontId="21" fillId="0" borderId="0" applyAlignment="1" pivotButton="0" quotePrefix="0" xfId="0">
      <alignment horizontal="left" vertical="center"/>
    </xf>
    <xf numFmtId="0" fontId="10" fillId="9" borderId="0" applyAlignment="1" pivotButton="0" quotePrefix="0" xfId="0">
      <alignment horizontal="center" vertical="center"/>
    </xf>
    <xf numFmtId="0" fontId="10" fillId="10" borderId="0" applyAlignment="1" pivotButton="0" quotePrefix="0" xfId="0">
      <alignment horizontal="center" vertical="center"/>
    </xf>
    <xf numFmtId="164" fontId="11" fillId="5" borderId="6" applyAlignment="1" pivotButton="0" quotePrefix="0" xfId="0">
      <alignment horizontal="left" vertical="center" wrapText="1"/>
    </xf>
    <xf numFmtId="0" fontId="14" fillId="0" borderId="6" applyAlignment="1" pivotButton="0" quotePrefix="0" xfId="0">
      <alignment horizontal="center" vertical="center" wrapText="1"/>
    </xf>
    <xf numFmtId="0" fontId="22" fillId="0" borderId="6" applyAlignment="1" pivotButton="0" quotePrefix="0" xfId="0">
      <alignment horizontal="center"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6" fillId="0" borderId="0" applyAlignment="1" pivotButton="0" quotePrefix="0" xfId="0">
      <alignment horizontal="general" vertical="bottom"/>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23" fillId="10" borderId="0" applyAlignment="1" pivotButton="0" quotePrefix="0" xfId="0">
      <alignment horizontal="center" vertical="center"/>
    </xf>
    <xf numFmtId="0" fontId="15"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10" pivotButton="0" quotePrefix="0" xfId="0"/>
    <xf numFmtId="0" fontId="0" fillId="0" borderId="11" pivotButton="0" quotePrefix="0" xfId="0"/>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6" borderId="0" applyAlignment="1" pivotButton="0" quotePrefix="0" xfId="0">
      <alignment horizontal="general" vertical="bottom" wrapText="1"/>
    </xf>
    <xf numFmtId="0" fontId="13" fillId="5" borderId="4" applyAlignment="1" pivotButton="0" quotePrefix="0" xfId="0">
      <alignment horizontal="left" vertical="center" wrapText="1"/>
    </xf>
    <xf numFmtId="0" fontId="11" fillId="7" borderId="5" applyAlignment="1" pivotButton="0" quotePrefix="0" xfId="0">
      <alignment horizontal="left" vertical="center" wrapText="1"/>
    </xf>
    <xf numFmtId="0" fontId="13" fillId="7" borderId="5" applyAlignment="1" pivotButton="0" quotePrefix="0" xfId="0">
      <alignment horizontal="left" vertical="center" wrapText="1"/>
    </xf>
    <xf numFmtId="0" fontId="14" fillId="7"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7" borderId="6" applyAlignment="1" pivotButton="0" quotePrefix="0" xfId="0">
      <alignment horizontal="left" vertical="center" wrapText="1"/>
    </xf>
    <xf numFmtId="0" fontId="13" fillId="7"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7" borderId="6" applyAlignment="1" pivotButton="0" quotePrefix="0" xfId="0">
      <alignment horizontal="general" vertical="top" wrapText="1"/>
    </xf>
    <xf numFmtId="0" fontId="0" fillId="0" borderId="14" pivotButton="0" quotePrefix="0" xfId="0"/>
    <xf numFmtId="0" fontId="0" fillId="0" borderId="15" pivotButton="0" quotePrefix="0" xfId="0"/>
    <xf numFmtId="0" fontId="15" fillId="7" borderId="6"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8"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9" fillId="0" borderId="4" applyAlignment="1" pivotButton="0" quotePrefix="0" xfId="0">
      <alignment horizontal="general"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20" fillId="0" borderId="0" applyAlignment="1" pivotButton="0" quotePrefix="0" xfId="0">
      <alignment horizontal="left" vertical="center"/>
    </xf>
    <xf numFmtId="0" fontId="10" fillId="8" borderId="0" applyAlignment="1" pivotButton="0" quotePrefix="0" xfId="0">
      <alignment horizontal="center" vertical="center"/>
    </xf>
    <xf numFmtId="0" fontId="21" fillId="0" borderId="0" applyAlignment="1" pivotButton="0" quotePrefix="0" xfId="0">
      <alignment horizontal="left" vertical="center"/>
    </xf>
    <xf numFmtId="0" fontId="10" fillId="9" borderId="0" applyAlignment="1" pivotButton="0" quotePrefix="0" xfId="0">
      <alignment horizontal="center" vertical="center"/>
    </xf>
    <xf numFmtId="0" fontId="10" fillId="10" borderId="0" applyAlignment="1" pivotButton="0" quotePrefix="0" xfId="0">
      <alignment horizontal="center" vertical="center"/>
    </xf>
    <xf numFmtId="164" fontId="11" fillId="5" borderId="6" applyAlignment="1" pivotButton="0" quotePrefix="0" xfId="0">
      <alignment horizontal="left" vertical="center" wrapText="1"/>
    </xf>
    <xf numFmtId="0" fontId="14" fillId="0" borderId="6" applyAlignment="1" pivotButton="0" quotePrefix="0" xfId="0">
      <alignment horizontal="center" vertical="center" wrapText="1"/>
    </xf>
    <xf numFmtId="0" fontId="22" fillId="0" borderId="6" applyAlignment="1" pivotButton="0" quotePrefix="0" xfId="0">
      <alignment horizontal="center" vertical="center" wrapText="1"/>
    </xf>
    <xf numFmtId="0" fontId="6" fillId="0" borderId="0" applyAlignment="1" pivotButton="0" quotePrefix="0" xfId="0">
      <alignment horizontal="general" vertical="bottom"/>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23" fillId="10" borderId="0" applyAlignment="1" pivotButton="0" quotePrefix="0" xfId="0">
      <alignment horizontal="center" vertical="center"/>
    </xf>
    <xf numFmtId="0" fontId="15"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7FBF7"/>
      <rgbColor rgb="FFF4F7F3"/>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EFE9F2"/>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7" activePane="bottomLeft" state="frozen"/>
      <selection pane="topLeft" activeCell="A1" activeCellId="0" sqref="A1"/>
      <selection pane="bottomLeft" activeCell="B18" activeCellId="0" sqref="B18"/>
    </sheetView>
  </sheetViews>
  <sheetFormatPr baseColWidth="8" defaultColWidth="8.5625" defaultRowHeight="14.25" zeroHeight="0" outlineLevelRow="0"/>
  <cols>
    <col width="18" customWidth="1" style="48" min="1" max="1"/>
    <col width="20" customWidth="1" style="48" min="2" max="2"/>
    <col width="26" customWidth="1" style="48" min="3" max="4"/>
    <col width="16" customWidth="1" style="48" min="5" max="5"/>
    <col width="20" customWidth="1" style="48" min="6" max="6"/>
    <col width="10" customWidth="1" style="48" min="7" max="7"/>
    <col width="26" customWidth="1" style="48" min="8" max="8"/>
    <col width="22" customWidth="1" style="48" min="9" max="10"/>
  </cols>
  <sheetData>
    <row r="1" ht="30" customHeight="1" s="49">
      <c r="A1" s="50" t="inlineStr">
        <is>
          <t>Weekly Planner - To be submitted to Head of School prior to the start of each Half-Term</t>
        </is>
      </c>
    </row>
    <row r="2" ht="14.25" customHeight="1" s="49">
      <c r="A2" s="51" t="inlineStr">
        <is>
          <t>Progress Schools  ·  linked to the 2026/27 Schemes of Work</t>
        </is>
      </c>
    </row>
    <row r="3"/>
    <row r="4" ht="19.5" customHeight="1" s="49">
      <c r="A4" s="52" t="inlineStr">
        <is>
          <t>Pathway</t>
        </is>
      </c>
      <c r="B4" s="53" t="inlineStr">
        <is>
          <t>LAUNCH</t>
        </is>
      </c>
      <c r="D4" s="48" t="n">
        <v>6</v>
      </c>
      <c r="F4" s="52" t="inlineStr">
        <is>
          <t>Week no.</t>
        </is>
      </c>
      <c r="G4" s="53" t="n">
        <v>6</v>
      </c>
    </row>
    <row r="5" ht="19.5" customHeight="1" s="49">
      <c r="A5" s="52" t="inlineStr">
        <is>
          <t>Term</t>
        </is>
      </c>
      <c r="B5" s="53" t="inlineStr">
        <is>
          <t>Autumn</t>
        </is>
      </c>
      <c r="F5" s="52" t="inlineStr">
        <is>
          <t>Group / class</t>
        </is>
      </c>
      <c r="G5" s="53" t="n"/>
    </row>
    <row r="6" ht="19.5" customHeight="1" s="49">
      <c r="A6" s="52" t="inlineStr">
        <is>
          <t>Theme</t>
        </is>
      </c>
      <c r="B6" s="54">
        <f>IF(B5="Autumn","Identity &amp; Belonging",IF(B5="Spring","Resilience &amp; Change",IF(B5="Summer","Our World, My Future","pick a term")))</f>
        <v/>
      </c>
      <c r="C6" s="55" t="n"/>
      <c r="D6" s="55" t="n"/>
      <c r="F6" s="52" t="inlineStr">
        <is>
          <t>Teacher</t>
        </is>
      </c>
      <c r="G6" s="53" t="n"/>
    </row>
    <row r="7" ht="19.5" customHeight="1" s="49">
      <c r="A7" s="52" t="inlineStr">
        <is>
          <t>Week commencing</t>
        </is>
      </c>
      <c r="B7" s="56" t="n">
        <v>46300</v>
      </c>
      <c r="F7" s="52" t="inlineStr">
        <is>
          <t>Reviewed by</t>
        </is>
      </c>
      <c r="G7" s="53" t="n"/>
    </row>
    <row r="8" ht="45.75" customHeight="1" s="49">
      <c r="A8" s="57" t="inlineStr">
        <is>
          <t>SMSC/BV this week: BHM continues.  World Mental Health Day Sat 10 Oct — observe Fri 9; ⚠ handle with care (§8.4: advance flag, opt-out, known-adult check-in).  Launch PSHE W6 (wellbeing &amp; help-seeking) lands exactly this week — deliberate alignment.  Hate Crime Awareness Week may fall this week (tbc).  EVIDENCE: assembly print + evidence platform: PfA; care protocol logged → log in the SMSC Evidence Tracker.</t>
        </is>
      </c>
      <c r="B8" s="58" t="n"/>
      <c r="C8" s="58" t="n"/>
      <c r="D8" s="58" t="n"/>
      <c r="E8" s="58" t="n"/>
      <c r="F8" s="58" t="n"/>
      <c r="G8" s="58" t="n"/>
      <c r="H8" s="58" t="n"/>
      <c r="I8" s="58" t="n"/>
      <c r="J8" s="59" t="n"/>
    </row>
    <row r="9" ht="30" customHeight="1" s="49">
      <c r="A9" s="60" t="inlineStr">
        <is>
          <t>Subject</t>
        </is>
      </c>
      <c r="B9" s="60" t="inlineStr">
        <is>
          <t>SoW unit (this term)</t>
        </is>
      </c>
      <c r="C9" s="60" t="inlineStr">
        <is>
          <t>This week's outcome</t>
        </is>
      </c>
      <c r="D9" s="60" t="inlineStr">
        <is>
          <t>Activities</t>
        </is>
      </c>
      <c r="E9" s="60" t="inlineStr">
        <is>
          <t>Key vocabulary</t>
        </is>
      </c>
      <c r="F9" s="60" t="inlineStr">
        <is>
          <t>Resources required</t>
        </is>
      </c>
      <c r="G9" s="60" t="inlineStr">
        <is>
          <t>Assess. (F/S)</t>
        </is>
      </c>
      <c r="H9" s="60" t="inlineStr">
        <is>
          <t>Student adaptations</t>
        </is>
      </c>
      <c r="I9" s="60" t="inlineStr">
        <is>
          <t>Classroom support</t>
        </is>
      </c>
      <c r="J9" s="60" t="inlineStr">
        <is>
          <t>Evaluation (after teaching)</t>
        </is>
      </c>
    </row>
    <row r="10" ht="330" customHeight="1" s="49">
      <c r="A10" s="61" t="inlineStr">
        <is>
          <t>English</t>
        </is>
      </c>
      <c r="B10" s="62" t="inlineStr">
        <is>
          <t>Paper 1 Q4: evaluate a statement with evidence from the extract. AO4.</t>
        </is>
      </c>
      <c r="C10" s="62" t="inlineStr">
        <is>
          <t>I can say whether I agree with a statement and support my opinion with evidence.</t>
        </is>
      </c>
      <c r="D10" s="62" t="inlineStr">
        <is>
          <t>Arrival task: agree/disagree with a simple statement and give a reason → introduce Q4 statement language → model evidence + judgement → students sort evidence that supports/challenges the statement → write one supported evaluation paragraph and add a mini conclusion.</t>
        </is>
      </c>
      <c r="E10" s="62" t="inlineStr">
        <is>
          <t>evaluate, statement, agree, disagree, evidence, judgement, impression, because, to some extent</t>
        </is>
      </c>
      <c r="F10" s="62" t="inlineStr">
        <is>
          <t>Unseen fiction extract; Q4 statement; evidence sort cards; agree/disagree line; Q4 writing frame; model response.</t>
        </is>
      </c>
      <c r="G10" s="63" t="inlineStr">
        <is>
          <t>F</t>
        </is>
      </c>
      <c r="H10" s="62" t="inlineStr">
        <is>
          <t>Opinion line before writing; evidence bank; sentence stems; one paragraph target; option to verbalise response first; reduced extract focus from a specific line range.</t>
        </is>
      </c>
      <c r="I10" s="62" t="inlineStr">
        <is>
          <t>TA supports students to choose a side, locate evidence and explain why it supports their view. Teacher models balanced judgement for stretch.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is>
      </c>
      <c r="J10" s="62" t="inlineStr">
        <is>
          <t>To complete after teaching: record who can make a clear judgement and who still retells the text without evaluating.  → Influence: shapes the next instruction and the mock-exam plan; feeds the EHCP/PfA target at review [NS].</t>
        </is>
      </c>
    </row>
    <row r="11" ht="330" customHeight="1" s="49">
      <c r="A11" s="64" t="inlineStr">
        <is>
          <t>Maths</t>
        </is>
      </c>
      <c r="B11" s="65" t="inlineStr">
        <is>
          <t>Numeracy, Money &amp; Financial Capability</t>
        </is>
      </c>
      <c r="C11" s="66" t="inlineStr">
        <is>
          <t>I can calculate and interpret percentage change in real-life contexts.</t>
        </is>
      </c>
      <c r="D11" s="65" t="inlineStr">
        <is>
          <t>Calculate percentage increases and decreases using everyday examples.
Explore percentage change in shopping, discounts, price rises and savings.
Compare original and new values to determine percentage change.
Interpret percentage changes shown in graphs, tables and charts.
Solve real-life problems involving wages, bills, population changes and finance.
Use calculators and written methods to calculate percentage change accurately.
Explain the impact of percentage increases and decreases in different situations.
Sale-sticker workshop: re-price real items for a '20% off' sale with labels, partner-check every price, then spot the fake discount ('was/now' tricks) — consumer self-defence and GCSE percentage change in one.</t>
        </is>
      </c>
      <c r="E11" s="65" t="inlineStr">
        <is>
          <t>Percentage
Per cent
Increase
Decrease
Change
Original value
New value
Difference
Discount
Profit
Loss
Rise
Reduction
Calculate
Compare
Financial impact</t>
        </is>
      </c>
      <c r="F11" s="65" t="inlineStr">
        <is>
          <t>Calculators
Real items, sale labels/stickers and 'was/now' price cards
Shopping catalogues and price lists
Real-life data sets, graphs and charts
Whiteboards and pens
Interactive whiteboard resources
Scenario cards
Budgeting and finance activities
Vocabulary mats</t>
        </is>
      </c>
      <c r="G11" s="65" t="inlineStr">
        <is>
          <t>F</t>
        </is>
      </c>
      <c r="H11" s="65" t="inlineStr">
        <is>
          <t>Use practical examples such as shopping and sale prices to support understanding.
Provide step-by-step calculation guides and worked examples.
Use calculators where appropriate to reduce calculation barriers.
Supply formula prompts and vocabulary mats.
Break complex problems into smaller stages.
Offer additional adult support and guided practice.
Extend learning through multi-step financial and data-based problems.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1" s="65" t="inlineStr">
        <is>
          <t>Teacher modelling of percentage increase and decrease calculations.
Guided group work and targeted adult support.
Regular reinforcement of key mathematical vocabulary.
Use of real-life contexts to increase relevance and engagement.
Visual aids and worked examples available throughout lessons.
Ongoing assessment through questioning, discussion and problem-solving activities.
Positive feedback and opportunities for collaborative learning.
LOOP [Feedback Policy]: Voice = mini-whiteboard show-me / worked re-do [VF, I] → Audience: mark against the method, one [NS]; [R] on an accurate re-do → EVIDENCE: station photo + book (payslips/ratio), same day [E: numeracy/PfA — counts toward the 3-piece weekly minimum].</t>
        </is>
      </c>
      <c r="J11" s="65" t="inlineStr">
        <is>
          <t>Influence: the grade-push skill identified shapes the next lesson and the December summative plan [NS].</t>
        </is>
      </c>
    </row>
    <row r="12" ht="360" customHeight="1" s="49">
      <c r="A12" s="67" t="inlineStr">
        <is>
          <t>Science</t>
        </is>
      </c>
      <c r="B12" s="68" t="inlineStr">
        <is>
          <t>Edexcel GCSE Biology 1BI0 Foundation · Paper 1 · Topic 1 - Aut1·W6 (Discover)</t>
        </is>
      </c>
      <c r="C12" s="68" t="inlineStr">
        <is>
          <t>Discover: I can explain active transport and distinguish it from diffusion and osmosis. | Use: I can apply active transport to root hair and gut cells, and use data to link it to respiration. | Master: I can answer 'compare' exam questions across the three transport processes independently.</t>
        </is>
      </c>
      <c r="D12" s="68" t="inlineStr">
        <is>
          <t>THREE lessons this week (Discover -&gt; Use -&gt; Master), one per 40-min period. Each a v5 whiteboard deck with 3-tier print pack + Assessor Witness Statement.</t>
        </is>
      </c>
      <c r="E12" s="68" t="inlineStr">
        <is>
          <t>active transport, against the gradient, carrier protein, respiration, mitochondria, root hair cell, mineral ion, villi, uptake, oxygen, compare, similarity, difference, direction, energy</t>
        </is>
      </c>
      <c r="F12" s="68" t="inlineStr">
        <is>
          <t>Science_Teesside/Launch/SCI_L_W6_L1_ActiveTransport.html; Science_Teesside/Launch/SCI_L_W6_L2_RootAndGut.html; Science_Teesside/Launch/SCI_L_W6_L3_Compare.html</t>
        </is>
      </c>
      <c r="G12" s="68" t="inlineStr">
        <is>
          <t>F</t>
        </is>
      </c>
      <c r="H12" s="68" t="inlineStr">
        <is>
          <t>Tiered 3 ways (Supported/Standard/Stretch) at arrival, independent work and exit. Maths scaffolds at every tier. This topic is model- and data-based - comparison tables and graphs. A pupil who reads the data, completes the table or explains the pattern is doing the assessed science.</t>
        </is>
      </c>
      <c r="I12" s="68" t="inlineStr">
        <is>
          <t>TA holds the lock and keys and prompts 'why won't that one fit?'. Teacher keeps 'denatured = shape changed, NOT dead' on display all three slots. GESTURE ANCHOR: two hands interlocking = complex; hands pulled apart and splayed = denatured — use it every time the word is said.  LOOP [Feedback Policy]: Voice = annotated graph / exam-style explain / card-model commentary [//, NS, I] → Audience: mark against the mark scheme and name the improvement before [R]; deferred response 10–15 min next lesson → EVIDENCE: coded, redrafted graph + book [E: science].</t>
        </is>
      </c>
      <c r="J12" s="68" t="inlineStr">
        <is>
          <t>Note who says 'denatured' vs 'died' — that single word is the diagnostic for the whole block.  → Influence: this is the first week of the newly-inserted enzyme block; if the explain question is weak, W7's food-test conclusions must be re-scaffolded before the W8 CP [NS]; log RAG.</t>
        </is>
      </c>
    </row>
    <row r="13" ht="330" customHeight="1" s="49">
      <c r="A13" s="69" t="inlineStr">
        <is>
          <t>PSHE / RSE</t>
        </is>
      </c>
      <c r="B13" s="70" t="inlineStr">
        <is>
          <t>Identity, relationships &amp; rights in adult life · PSHE Association SEND framework · AQA UAS 'Healthy relationships' · SoW Aut1·W6</t>
        </is>
      </c>
      <c r="C13" s="70" t="inlineStr">
        <is>
          <t>I can describe how to look after my wellbeing and where adults get support.</t>
        </is>
      </c>
      <c r="D13" s="70" t="inlineStr">
        <is>
          <t>Stress-bucket demo with a real bucket and water — stressors pour in, strategies are the taps → map the adult support landscape: build a post-16 'who to contact' directory (GP, college wellbeing team, employer, helplines) as a wallet card → real-skill rehearsal: role-play booking a GP appointment and asking for help clearly (phone script, recorded).  EVIDENCE: directory cards + recorded role-plays (AQA UAS).  STRETCH: why do adults find help-seeking hard — and what actually works?</t>
        </is>
      </c>
      <c r="E13" s="70" t="inlineStr">
        <is>
          <t>wellbeing, stress, strategy, support, appointment, self-care</t>
        </is>
      </c>
      <c r="F13" s="70" t="inlineStr">
        <is>
          <t>Bucket, jug and water; tap/strategy labels; directory card blanks; phone-script prompts; recorder.</t>
        </is>
      </c>
      <c r="G13" s="70" t="inlineStr">
        <is>
          <t>F</t>
        </is>
      </c>
      <c r="H13" s="70" t="inlineStr">
        <is>
          <t>Support mapping stays general and forward-looking — personal disclosures are never required; role-plays scripted so there's no improvising under pressure.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3" s="70" t="inlineStr">
        <is>
          <t>TA plays the receptionist in role-plays; teacher runs the bucket demo theatrically; the wallet cards go home — real transfer to adult life.
LOOP [Feedback Policy]: Voice = recorded micro-interview / script-flip / portfolio piece [VF] → Audience: listen fully, name one strength + one [NS] before tagging; then [R] → EVIDENCE: recording/portfolio to evidence platform, same day [E: PfA/careers/transition — weekly PfA minimum].</t>
        </is>
      </c>
      <c r="J13" s="70" t="inlineStr">
        <is>
          <t>Influence: feeds each pupil's real destination (college/barbering) → PfA plan and IEDP Outcome 5 [NS].</t>
        </is>
      </c>
    </row>
    <row r="14" ht="330" customHeight="1" s="49">
      <c r="A14" s="67" t="inlineStr">
        <is>
          <t>RE</t>
        </is>
      </c>
      <c r="B14" s="68" t="inlineStr">
        <is>
          <t>Belief, Identity &amp; Belonging</t>
        </is>
      </c>
      <c r="C14" s="68" t="inlineStr">
        <is>
          <t>I can explain how remembrance and peace are understood and expressed across different beliefs and worldviews.</t>
        </is>
      </c>
      <c r="D14" s="68" t="inlineStr">
        <is>
          <t>Silent gallery walk: remembrance images across traditions — poppies, yahrzeit candles, Día de los Muertos ofrendas, a stadium minute's silence — respond on sticky notes as you move → compare: what is the same human need underneath? → design and RUN a respectful two-minute reflection for our school (music, words or silence — pupils choose) → debrief how it felt to lead it.  EVIDENCE: gallery sticky notes + the reflection they deliver, photographed (AQA UAS).  STRETCH: why do all traditions ritualise remembering? — one spoken theory each.</t>
        </is>
      </c>
      <c r="E14" s="68" t="inlineStr">
        <is>
          <t>Remembrance
Peace
Conflict
Reconciliation
Respect
Community
Reflection
Commemoration
Memorial
Sacrifice
Harmony
Compassion
Forgiveness
Diversity
Belief
Worldview</t>
        </is>
      </c>
      <c r="F14" s="68" t="inlineStr">
        <is>
          <t>Printed gallery images across traditions; sticky notes; music/candle (LED) options for the reflection; camera; calm space.</t>
        </is>
      </c>
      <c r="G14" s="68" t="inlineStr">
        <is>
          <t>F</t>
        </is>
      </c>
      <c r="H14" s="68" t="inlineStr">
        <is>
          <t>The gallery is silent by design — a gift for pupils who hate being questioned aloud; leading the reflection is a team act with roles by choice.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4" s="68" t="inlineStr">
        <is>
          <t>TA walks the gallery quietly modelling sticky-note responses; teacher hands the reflection genuinely over to pupils — ownership is the point; photos evidence it.
LOOP [Feedback Policy]: Voice = P-E-E paragraph + spoken viva; green-pen upgrade [//, NS, ?] → Audience: mark against the RS scheme and name the improvement; deferred response for the write; [R] after the upgrade is received → EVIDENCE: paragraph + before/after photo + viva clip [E: RE].</t>
        </is>
      </c>
      <c r="J14" s="68" t="inlineStr">
        <is>
          <t>Influence: the command-word skill shapes the next exam-style question and the December summative [NS].</t>
        </is>
      </c>
    </row>
    <row r="15" ht="360" customHeight="1" s="49">
      <c r="A15" s="69" t="inlineStr">
        <is>
          <t>Humanities</t>
        </is>
      </c>
      <c r="B15" s="68" t="inlineStr">
        <is>
          <t>NC KS3/4 History — write a structured account (migration &amp; identity). Deliberately mirrors English AO structure work so scaffolds are shared, not re-taught.</t>
        </is>
      </c>
      <c r="C15" s="68" t="inlineStr">
        <is>
          <t>I can write a short structured account about migration and identity using at least two pieces of evidence.</t>
        </is>
      </c>
      <c r="D15" s="68" t="inlineStr">
        <is>
          <t>Arrival task: order a jumbled 4-sentence account → model the 'First… Then… This meant…' structure with one linked source → we do: co-write the opening two sentences using the class sources → you do: complete a structured-account writing frame using 2 sources from earlier weeks → exit: read back and tick the success criteria.  FADE: full writing frame here (co-write + structured frame) — this is the top of the scaffold; W7's assessment steps it down toward an independent answer.  Pupil A (dyslexia): the linked source on magenta + read-aloud; oral rehearsal of each sentence before she writes it.</t>
        </is>
      </c>
      <c r="E15" s="68" t="inlineStr">
        <is>
          <t>account, structure, evidence, source, chronology, first, then, because, this meant, migration</t>
        </is>
      </c>
      <c r="F15" s="68" t="inlineStr">
        <is>
          <t>Structured-account writing frame; success-criteria checklist; sources from Weeks 3-5; magenta copies; connective mat shared with English.</t>
        </is>
      </c>
      <c r="G15" s="68" t="inlineStr">
        <is>
          <t>F</t>
        </is>
      </c>
      <c r="H15" s="68" t="inlineStr">
        <is>
          <t>Writing frame + connective mat (shared with English so structure is reinforced, not re-taught). Pupil B writes independently with frame + checklist; Pupil A types or writes to self with discreet feedback; oral rehearsal before writing; reduced length target.
Pupil C: never on the spot or publicly corrected; calm, quiet encouragement; clear success criteria and model examples; challenge on, pressure off when confidence dips.</t>
        </is>
      </c>
      <c r="I15" s="68" t="inlineStr">
        <is>
          <t>TA prompts 'what happened first? what did it mean?'; teacher models linking a source into a sentence and mirrors English's structure language to reduce load.
LOOP [Feedback Policy]: Voice = source-based edit / structured account [//, NS] → Audience: read against the criteria and name the change; deferred for the account; then [R] → EVIDENCE: coded book + enrichment photos [E: humanities].</t>
        </is>
      </c>
      <c r="J15" s="68" t="inlineStr">
        <is>
          <t>Note who uses evidence to support a point vs who retells; flag pupils needing the connective mat.  → Influence: assessment technique shapes the next enquiry's scaffold [NS].</t>
        </is>
      </c>
    </row>
    <row r="16" ht="330" customHeight="1" s="49">
      <c r="A16" s="71" t="inlineStr">
        <is>
          <t>Arts (Arts Award)</t>
        </is>
      </c>
      <c r="B16" s="68" t="inlineStr">
        <is>
          <t>Trinity Arts Award, Unit 1 Part C — attend/experience an arts event; capture first responses.</t>
        </is>
      </c>
      <c r="C16" s="68" t="inlineStr">
        <is>
          <t>I can experience an arts event and note my first responses in my arts log.</t>
        </is>
      </c>
      <c r="D16" s="68" t="inlineStr">
        <is>
          <t>Arrival task: 'eyes ready' — one image, a 10-second look, one word → model capturing a first response (see / feel / wonder) → we do: experience the chosen event/virtual tour together, pausing to note responses → you do: complete a first-response log page during/after → exit: share one 'I noticed…' with the TA or a partner.</t>
        </is>
      </c>
      <c r="E16" s="68" t="inlineStr">
        <is>
          <t>experience, response, notice, feeling, medium, atmosphere, detail, arts log, evidence</t>
        </is>
      </c>
      <c r="F16" s="68" t="inlineStr">
        <is>
          <t>The planned experience (virtual gallery / exhibition / film clip); first-response log frame (see/feel/wonder); magenta copies; device; camera for evidence.</t>
        </is>
      </c>
      <c r="G16" s="68" t="inlineStr">
        <is>
          <t>F</t>
        </is>
      </c>
      <c r="H16" s="68" t="inlineStr">
        <is>
          <t>Structured see/feel/wonder frame removes 'I don't know what to write'. Pupil A experiences and logs 1:1, not quizzed aloud; Pupil B logs independently; verbal responses accepted and scribed; calm viewing option (headphones/space).
Pupil C: never on the spot or publicly corrected; calm, quiet encouragement; clear success criteria and model examples; challenge on, pressure off when confidence dips.</t>
        </is>
      </c>
      <c r="I16" s="68" t="inlineStr">
        <is>
          <t>TA prompts noticing ('what do you see first?'); teacher paces the pauses. Log + photo banks Arts Award Unit 1 Part C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is>
      </c>
      <c r="J16" s="68" t="inlineStr">
        <is>
          <t>Note who records a personal response vs a description; check evidence is dated and logged.  → Influence: the portfolio builds toward Silver → accreditation next step at moderation [NS].</t>
        </is>
      </c>
    </row>
    <row r="17" ht="45.75" customHeight="1" s="49">
      <c r="A17" s="69" t="inlineStr">
        <is>
          <t>PE</t>
        </is>
      </c>
      <c r="B17" s="70" t="n"/>
      <c r="C17" s="70" t="n"/>
      <c r="D17" s="70" t="n"/>
      <c r="E17" s="70" t="n"/>
      <c r="F17" s="70" t="n"/>
      <c r="G17" s="70" t="n"/>
      <c r="H17" s="70" t="n"/>
      <c r="I17" s="70" t="n"/>
      <c r="J17" s="70" t="n"/>
    </row>
    <row r="18" ht="45.75" customHeight="1" s="49">
      <c r="A18" s="67" t="inlineStr">
        <is>
          <t>Careers / Vocational (ASDAN)</t>
        </is>
      </c>
      <c r="B18" s="68" t="inlineStr">
        <is>
          <t xml:space="preserve">
Looking after myself &amp; my home</t>
        </is>
      </c>
      <c r="C18" s="68" t="inlineStr">
        <is>
          <t>I can plan a simple healthy meal and create a shopping list for the ingredients I need.</t>
        </is>
      </c>
      <c r="D18" s="68" t="inlineStr">
        <is>
          <t>Discuss the components of a healthy meal.
Select ingredients for a simple meal from picture cards.
Create a shopping list.
Explore simple ways to compare prices and find products in a shop.</t>
        </is>
      </c>
      <c r="E18" s="68" t="inlineStr">
        <is>
          <t>Healthy
Ingredients
Shopping list
Budget
Nutrition
Meal planning</t>
        </is>
      </c>
      <c r="F18" s="68" t="inlineStr">
        <is>
          <t>Food pictures
Shopping list template
Supermarket leaflet or online examples</t>
        </is>
      </c>
      <c r="G18" s="68" t="n"/>
      <c r="H18" s="68" t="inlineStr">
        <is>
          <t>Use picture-based shopping lists.
Provide a limited number of choices.
Adult scribing where required.
Extension: Calculate the approximate cost of the meal.</t>
        </is>
      </c>
      <c r="I18" s="68" t="inlineStr">
        <is>
          <t>Model meal-planning decisions.
Use visuals to support understanding of healthy choices.
Support students with spelling and list writing.
Prompt discussions around budgeting and value for money.
Encourage independent decision-making where possible.</t>
        </is>
      </c>
      <c r="J18" s="68" t="n"/>
    </row>
    <row r="20" ht="18" customHeight="1" s="49">
      <c r="A20" s="72" t="inlineStr">
        <is>
          <t>Enrichment &amp; wider opportunities this week   (trips, visitors, themed days, SMSC calendar link, PfA / community)</t>
        </is>
      </c>
    </row>
    <row r="21" ht="117.75" customHeight="1" s="49">
      <c r="A21" s="73" t="n"/>
      <c r="B21" s="74" t="n"/>
      <c r="C21" s="74" t="n"/>
      <c r="D21" s="74" t="n"/>
      <c r="E21" s="74" t="n"/>
      <c r="F21" s="74" t="n"/>
      <c r="G21" s="74" t="n"/>
      <c r="H21" s="74" t="n"/>
      <c r="I21" s="74" t="n"/>
      <c r="J21" s="75" t="n"/>
    </row>
    <row r="22" ht="18" customHeight="1" s="49">
      <c r="A22" s="72" t="inlineStr">
        <is>
          <t>Resources &amp; support to prepare before the week   (printing, kit, bookings, briefing the team)</t>
        </is>
      </c>
    </row>
    <row r="23" ht="147.75" customHeight="1" s="49">
      <c r="A23" s="76" t="n"/>
      <c r="B23" s="74" t="n"/>
      <c r="C23" s="74" t="n"/>
      <c r="D23" s="74" t="n"/>
      <c r="E23" s="74" t="n"/>
      <c r="F23" s="74" t="n"/>
      <c r="G23" s="74" t="n"/>
      <c r="H23" s="74" t="n"/>
      <c r="I23" s="74" t="n"/>
      <c r="J23" s="75" t="n"/>
    </row>
    <row r="24" ht="14.25" customHeight="1" s="49">
      <c r="A24" s="77"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7" activeCellId="0" sqref="A7"/>
    </sheetView>
  </sheetViews>
  <sheetFormatPr baseColWidth="8" defaultColWidth="8.5625" defaultRowHeight="14.25" zeroHeight="0" outlineLevelRow="0"/>
  <cols>
    <col width="16" customWidth="1" style="48" min="1" max="1"/>
    <col width="11" customWidth="1" style="48" min="2" max="2"/>
    <col width="10" customWidth="1" style="48" min="3" max="3"/>
    <col width="15" customWidth="1" style="48" min="4" max="4"/>
    <col width="26" customWidth="1" style="48" min="5" max="5"/>
    <col width="28" customWidth="1" style="48" min="6" max="7"/>
    <col width="18" customWidth="1" style="48" min="8" max="8"/>
    <col width="22" customWidth="1" style="48" min="9" max="9"/>
  </cols>
  <sheetData>
    <row r="1" ht="25.5" customHeight="1" s="49">
      <c r="A1" s="78" t="inlineStr">
        <is>
          <t>Student Adaptations</t>
        </is>
      </c>
    </row>
    <row r="2" ht="14.25" customHeight="1" s="49">
      <c r="A2" s="51" t="n"/>
    </row>
    <row r="4" ht="27.75" customHeight="1" s="49">
      <c r="A4" s="79" t="inlineStr">
        <is>
          <t>Name</t>
        </is>
      </c>
      <c r="B4" s="79" t="inlineStr">
        <is>
          <t>Pathway</t>
        </is>
      </c>
      <c r="C4" s="79" t="inlineStr">
        <is>
          <t>Year / KS</t>
        </is>
      </c>
      <c r="D4" s="79" t="inlineStr">
        <is>
          <t>Reading age band</t>
        </is>
      </c>
      <c r="E4" s="79" t="inlineStr">
        <is>
          <t>Communication / sensory needs</t>
        </is>
      </c>
      <c r="F4" s="79" t="inlineStr">
        <is>
          <t>Key scaffolds &amp; adaptations</t>
        </is>
      </c>
      <c r="G4" s="79" t="inlineStr">
        <is>
          <t>EHCP primary outcomes</t>
        </is>
      </c>
      <c r="H4" s="79" t="inlineStr">
        <is>
          <t>PfA focus</t>
        </is>
      </c>
      <c r="I4" s="79" t="inlineStr">
        <is>
          <t>Notes</t>
        </is>
      </c>
    </row>
    <row r="5" ht="136.5" customHeight="1" s="49">
      <c r="A5" s="67" t="inlineStr">
        <is>
          <t>Pupil A</t>
        </is>
      </c>
      <c r="B5" s="68" t="inlineStr">
        <is>
          <t>LAUNCH</t>
        </is>
      </c>
      <c r="C5" s="68" t="inlineStr">
        <is>
          <t>KS4</t>
        </is>
      </c>
      <c r="D5" s="80" t="n"/>
      <c r="E5" s="68" t="n"/>
      <c r="F5" s="81" t="n"/>
      <c r="G5" s="68" t="n"/>
      <c r="H5" s="68" t="n"/>
      <c r="I5" s="68" t="n"/>
    </row>
    <row r="6" ht="42" customHeight="1" s="49">
      <c r="A6" s="67" t="inlineStr">
        <is>
          <t>Pupil B</t>
        </is>
      </c>
      <c r="B6" s="68" t="inlineStr">
        <is>
          <t>LAUNCH</t>
        </is>
      </c>
      <c r="C6" s="68" t="inlineStr">
        <is>
          <t>KS4</t>
        </is>
      </c>
      <c r="D6" s="80" t="n"/>
      <c r="E6" s="81" t="n"/>
      <c r="F6" s="68" t="n"/>
      <c r="G6" s="68" t="n"/>
      <c r="H6" s="68" t="n"/>
      <c r="I6" s="68" t="n"/>
    </row>
    <row r="7" ht="42" customHeight="1" s="49">
      <c r="A7" s="67" t="inlineStr">
        <is>
          <t>Pupil C</t>
        </is>
      </c>
      <c r="B7" s="68" t="inlineStr">
        <is>
          <t>LAUNCH</t>
        </is>
      </c>
      <c r="C7" s="68" t="inlineStr">
        <is>
          <t>KS4</t>
        </is>
      </c>
      <c r="D7" s="82" t="n"/>
      <c r="E7" s="83" t="n"/>
      <c r="F7" s="83" t="n"/>
      <c r="G7" s="63" t="n"/>
      <c r="H7" s="63" t="n"/>
      <c r="I7" s="83" t="n"/>
    </row>
    <row r="8" ht="30" customHeight="1" s="49">
      <c r="A8" s="84" t="n"/>
      <c r="B8" s="84" t="n"/>
      <c r="C8" s="84" t="n"/>
      <c r="D8" s="84" t="n"/>
      <c r="E8" s="84" t="n"/>
      <c r="F8" s="84" t="n"/>
      <c r="G8" s="84" t="n"/>
      <c r="H8" s="84" t="n"/>
      <c r="I8" s="84" t="n"/>
    </row>
    <row r="9" ht="30" customHeight="1" s="49">
      <c r="A9" s="85" t="n"/>
      <c r="B9" s="85" t="n"/>
      <c r="C9" s="85" t="n"/>
      <c r="D9" s="85" t="n"/>
      <c r="E9" s="85" t="n"/>
      <c r="F9" s="85" t="n"/>
      <c r="G9" s="85" t="n"/>
      <c r="H9" s="85" t="n"/>
      <c r="I9" s="85" t="n"/>
    </row>
    <row r="10" ht="30" customHeight="1" s="49">
      <c r="A10" s="84" t="n"/>
      <c r="B10" s="84" t="n"/>
      <c r="C10" s="84" t="n"/>
      <c r="D10" s="84" t="n"/>
      <c r="E10" s="84" t="n"/>
      <c r="F10" s="84" t="n"/>
      <c r="G10" s="84" t="n"/>
      <c r="H10" s="84" t="n"/>
      <c r="I10" s="84" t="n"/>
    </row>
    <row r="11" ht="30" customHeight="1" s="49">
      <c r="A11" s="85" t="n"/>
      <c r="B11" s="85" t="n"/>
      <c r="C11" s="85" t="n"/>
      <c r="D11" s="85" t="n"/>
      <c r="E11" s="85" t="n"/>
      <c r="F11" s="85" t="n"/>
      <c r="G11" s="85" t="n"/>
      <c r="H11" s="85" t="n"/>
      <c r="I11" s="85" t="n"/>
    </row>
    <row r="12" ht="30" customHeight="1" s="49">
      <c r="A12" s="84" t="n"/>
      <c r="B12" s="84" t="n"/>
      <c r="C12" s="84" t="n"/>
      <c r="D12" s="84" t="n"/>
      <c r="E12" s="84" t="n"/>
      <c r="F12" s="84" t="n"/>
      <c r="G12" s="84" t="n"/>
      <c r="H12" s="84" t="n"/>
      <c r="I12" s="84" t="n"/>
    </row>
    <row r="13" ht="30" customHeight="1" s="49">
      <c r="A13" s="85" t="n"/>
      <c r="B13" s="85" t="n"/>
      <c r="C13" s="85" t="n"/>
      <c r="D13" s="85" t="n"/>
      <c r="E13" s="85" t="n"/>
      <c r="F13" s="85" t="n"/>
      <c r="G13" s="85" t="n"/>
      <c r="H13" s="85" t="n"/>
      <c r="I13" s="85" t="n"/>
    </row>
    <row r="14" ht="30" customHeight="1" s="49">
      <c r="A14" s="84" t="n"/>
      <c r="B14" s="84" t="n"/>
      <c r="C14" s="84" t="n"/>
      <c r="D14" s="84" t="n"/>
      <c r="E14" s="84" t="n"/>
      <c r="F14" s="84" t="n"/>
      <c r="G14" s="84" t="n"/>
      <c r="H14" s="84" t="n"/>
      <c r="I14" s="84" t="n"/>
    </row>
    <row r="15" ht="30" customHeight="1" s="49">
      <c r="A15" s="85" t="n"/>
      <c r="B15" s="85" t="n"/>
      <c r="C15" s="85" t="n"/>
      <c r="D15" s="85" t="n"/>
      <c r="E15" s="85" t="n"/>
      <c r="F15" s="85" t="n"/>
      <c r="G15" s="85" t="n"/>
      <c r="H15" s="85" t="n"/>
      <c r="I15" s="85" t="n"/>
    </row>
    <row r="16" ht="30" customHeight="1" s="49">
      <c r="A16" s="84" t="n"/>
      <c r="B16" s="84" t="n"/>
      <c r="C16" s="84" t="n"/>
      <c r="D16" s="84" t="n"/>
      <c r="E16" s="84" t="n"/>
      <c r="F16" s="84" t="n"/>
      <c r="G16" s="84" t="n"/>
      <c r="H16" s="84" t="n"/>
      <c r="I16" s="84" t="n"/>
    </row>
    <row r="17" ht="30" customHeight="1" s="49">
      <c r="A17" s="85" t="n"/>
      <c r="B17" s="85" t="n"/>
      <c r="C17" s="85" t="n"/>
      <c r="D17" s="85" t="n"/>
      <c r="E17" s="85" t="n"/>
      <c r="F17" s="85" t="n"/>
      <c r="G17" s="85" t="n"/>
      <c r="H17" s="85" t="n"/>
      <c r="I17" s="85" t="n"/>
    </row>
    <row r="18" ht="30" customHeight="1" s="49">
      <c r="A18" s="84" t="n"/>
      <c r="B18" s="84" t="n"/>
      <c r="C18" s="84" t="n"/>
      <c r="D18" s="84" t="n"/>
      <c r="E18" s="84" t="n"/>
      <c r="F18" s="84" t="n"/>
      <c r="G18" s="84" t="n"/>
      <c r="H18" s="84" t="n"/>
      <c r="I18" s="84" t="n"/>
    </row>
    <row r="19" ht="30" customHeight="1" s="49">
      <c r="A19" s="85" t="n"/>
      <c r="B19" s="85" t="n"/>
      <c r="C19" s="85" t="n"/>
      <c r="D19" s="85" t="n"/>
      <c r="E19" s="85" t="n"/>
      <c r="F19" s="85" t="n"/>
      <c r="G19" s="85" t="n"/>
      <c r="H19" s="85" t="n"/>
      <c r="I19" s="85"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7" activePane="bottomLeft" state="frozen"/>
      <selection pane="topLeft" activeCell="A1" activeCellId="0" sqref="A1"/>
      <selection pane="bottomLeft" activeCell="C13" activeCellId="0" sqref="C13"/>
    </sheetView>
  </sheetViews>
  <sheetFormatPr baseColWidth="8" defaultColWidth="8.5625" defaultRowHeight="14.25" zeroHeight="0" outlineLevelRow="0"/>
  <cols>
    <col width="12" customWidth="1" style="48" min="1" max="1"/>
    <col width="11" customWidth="1" style="48" min="2" max="2"/>
    <col width="16" customWidth="1" style="48" min="3" max="3"/>
    <col width="28" customWidth="1" style="48" min="4" max="4"/>
    <col width="24" customWidth="1" style="48" min="5" max="5"/>
    <col width="9" customWidth="1" style="48" min="6" max="6"/>
    <col width="24" customWidth="1" style="48" min="7" max="7"/>
    <col width="18" customWidth="1" style="48" min="8" max="8"/>
    <col width="26" customWidth="1" style="48" min="9" max="9"/>
  </cols>
  <sheetData>
    <row r="1" ht="25.5" customHeight="1" s="49">
      <c r="A1" s="78" t="inlineStr">
        <is>
          <t xml:space="preserve">Outcome Tracker </t>
        </is>
      </c>
    </row>
    <row r="2" ht="14.25" customHeight="1" s="49">
      <c r="A2" s="86" t="inlineStr">
        <is>
          <t xml:space="preserve">Did everyone make progress and meet the outcome? </t>
        </is>
      </c>
    </row>
    <row r="3" ht="18" customHeight="1" s="49">
      <c r="A3" s="87" t="inlineStr">
        <is>
          <t>GREEN</t>
        </is>
      </c>
      <c r="B3" s="88" t="inlineStr">
        <is>
          <t>All demonstrated progress &amp; achieved the outcome</t>
        </is>
      </c>
      <c r="D3" s="89" t="inlineStr">
        <is>
          <t>AMBER</t>
        </is>
      </c>
      <c r="E3" s="88" t="inlineStr">
        <is>
          <t>Partly met, revisit in class</t>
        </is>
      </c>
      <c r="G3" s="90" t="inlineStr">
        <is>
          <t>RED</t>
        </is>
      </c>
      <c r="H3" s="88" t="inlineStr">
        <is>
          <t>Not met, pick up through intervention</t>
        </is>
      </c>
    </row>
    <row r="4"/>
    <row r="5" ht="27.75" customHeight="1" s="49">
      <c r="A5" s="79" t="inlineStr">
        <is>
          <t>Week (w/c)</t>
        </is>
      </c>
      <c r="B5" s="79" t="inlineStr">
        <is>
          <t>Pathway</t>
        </is>
      </c>
      <c r="C5" s="79" t="inlineStr">
        <is>
          <t>Subject</t>
        </is>
      </c>
      <c r="D5" s="79" t="inlineStr">
        <is>
          <t>Outcome reviewed</t>
        </is>
      </c>
      <c r="E5" s="79" t="inlineStr">
        <is>
          <t>Marking / evidence</t>
        </is>
      </c>
      <c r="F5" s="79" t="inlineStr">
        <is>
          <t>RAG</t>
        </is>
      </c>
      <c r="G5" s="79" t="inlineStr">
        <is>
          <t>Students not yet secure</t>
        </is>
      </c>
      <c r="H5" s="79" t="inlineStr">
        <is>
          <t>Picked up via</t>
        </is>
      </c>
      <c r="I5" s="79" t="inlineStr">
        <is>
          <t>Action &amp; timescale</t>
        </is>
      </c>
    </row>
    <row r="6" ht="56.25" customHeight="1" s="49">
      <c r="A6" s="91" t="n">
        <v>46265</v>
      </c>
      <c r="B6" s="68" t="inlineStr">
        <is>
          <t>LAUNCH</t>
        </is>
      </c>
      <c r="C6" s="92" t="inlineStr">
        <is>
          <t>English</t>
        </is>
      </c>
      <c r="D6" s="62" t="inlineStr">
        <is>
          <t>Students practised Q4 evaluation by agreeing/disagreeing with a statement and using evidence from the text.</t>
        </is>
      </c>
      <c r="E6" s="93" t="n"/>
      <c r="F6" s="93" t="n"/>
      <c r="G6" s="93" t="n"/>
      <c r="H6" s="93" t="n"/>
      <c r="I6" s="93" t="n"/>
    </row>
    <row r="7" ht="54.75" customHeight="1" s="49">
      <c r="A7" s="91" t="n">
        <v>46300</v>
      </c>
      <c r="B7" s="68" t="inlineStr">
        <is>
          <t>LAUNCH</t>
        </is>
      </c>
      <c r="C7" s="84" t="inlineStr">
        <is>
          <t>Maths</t>
        </is>
      </c>
      <c r="D7" s="66" t="inlineStr">
        <is>
          <t>I can calculate and interpret percentage change in real-life contexts.</t>
        </is>
      </c>
      <c r="E7" s="84" t="n"/>
      <c r="F7" s="84" t="n"/>
      <c r="G7" s="84" t="n"/>
      <c r="H7" s="84" t="n"/>
      <c r="I7" s="84" t="n"/>
    </row>
    <row r="8" ht="30" customHeight="1" s="49">
      <c r="A8" s="91" t="n">
        <v>46300</v>
      </c>
      <c r="B8" s="68" t="inlineStr">
        <is>
          <t>LAUNCH</t>
        </is>
      </c>
      <c r="C8" s="68" t="inlineStr">
        <is>
          <t>Science</t>
        </is>
      </c>
      <c r="D8" s="68" t="inlineStr">
        <is>
          <t>Discover: I can explain active transport and distinguish it from diffusion and osmosis. | Use: I can apply active transport to root hair and gut cells, and use data to link it to respiration. | Master</t>
        </is>
      </c>
      <c r="E8" s="68" t="n"/>
      <c r="F8" s="68" t="n"/>
      <c r="G8" s="68" t="n"/>
      <c r="H8" s="68" t="n"/>
      <c r="I8" s="68" t="n"/>
    </row>
    <row r="9" ht="30" customHeight="1" s="49">
      <c r="A9" s="91" t="n">
        <v>46300</v>
      </c>
      <c r="B9" s="68" t="inlineStr">
        <is>
          <t>LAUNCH</t>
        </is>
      </c>
      <c r="C9" s="68" t="inlineStr">
        <is>
          <t>PSHE / RSE</t>
        </is>
      </c>
      <c r="D9" s="68" t="inlineStr">
        <is>
          <t>I can describe how to look after my wellbeing and where adults get support.</t>
        </is>
      </c>
      <c r="E9" s="68" t="n"/>
      <c r="F9" s="68" t="n"/>
      <c r="G9" s="68" t="n"/>
      <c r="H9" s="68" t="n"/>
      <c r="I9" s="68" t="n"/>
    </row>
    <row r="10" ht="30" customHeight="1" s="49">
      <c r="A10" s="91" t="n">
        <v>46300</v>
      </c>
      <c r="B10" s="68" t="inlineStr">
        <is>
          <t>LAUNCH</t>
        </is>
      </c>
      <c r="C10" s="68" t="inlineStr">
        <is>
          <t>Humanities</t>
        </is>
      </c>
      <c r="D10" s="68" t="inlineStr">
        <is>
          <t>I can write a short structured account about migration and identity using at least two pieces of evidence.</t>
        </is>
      </c>
      <c r="E10" s="68" t="n"/>
      <c r="F10" s="68" t="n"/>
      <c r="G10" s="68" t="n"/>
      <c r="H10" s="68" t="n"/>
      <c r="I10" s="68" t="n"/>
    </row>
    <row r="11" ht="30" customHeight="1" s="49">
      <c r="A11" s="91" t="n">
        <v>46300</v>
      </c>
      <c r="B11" s="68" t="inlineStr">
        <is>
          <t>LAUNCH</t>
        </is>
      </c>
      <c r="C11" s="85" t="inlineStr">
        <is>
          <t>RE</t>
        </is>
      </c>
      <c r="D11" s="68" t="inlineStr">
        <is>
          <t>I can explain how remembrance and peace are understood and expressed across different beliefs and worldviews.</t>
        </is>
      </c>
      <c r="E11" s="85" t="n"/>
      <c r="F11" s="85" t="n"/>
      <c r="G11" s="85" t="n"/>
      <c r="H11" s="85" t="n"/>
      <c r="I11" s="85" t="n"/>
    </row>
    <row r="12" ht="30" customHeight="1" s="49">
      <c r="A12" s="91" t="n">
        <v>46300</v>
      </c>
      <c r="B12" s="68" t="inlineStr">
        <is>
          <t>LAUNCH</t>
        </is>
      </c>
      <c r="C12" s="68" t="inlineStr">
        <is>
          <t>Arts (Arts Award)</t>
        </is>
      </c>
      <c r="D12" s="68" t="inlineStr">
        <is>
          <t>I can experience an arts event and note my first responses in my arts log.</t>
        </is>
      </c>
      <c r="E12" s="68" t="n"/>
      <c r="F12" s="68" t="n"/>
      <c r="G12" s="84" t="n"/>
      <c r="H12" s="84" t="n"/>
      <c r="I12" s="84" t="n"/>
    </row>
    <row r="13" ht="30" customHeight="1" s="49">
      <c r="A13" s="91" t="n">
        <v>46300</v>
      </c>
      <c r="B13" s="85" t="inlineStr">
        <is>
          <t>LAUNCH</t>
        </is>
      </c>
      <c r="C13" s="85" t="inlineStr">
        <is>
          <t>Personal Development / PfA</t>
        </is>
      </c>
      <c r="D13" s="68" t="inlineStr">
        <is>
          <t>I can plan a simple healthy meal and create a shopping list for the ingredients I need.</t>
        </is>
      </c>
      <c r="E13" s="85" t="n"/>
      <c r="F13" s="85" t="n"/>
      <c r="G13" s="85" t="n"/>
      <c r="H13" s="85" t="n"/>
      <c r="I13" s="85" t="n"/>
    </row>
    <row r="14" ht="30" customHeight="1" s="49">
      <c r="A14" s="84" t="n"/>
      <c r="B14" s="84" t="n"/>
      <c r="C14" s="84" t="n"/>
      <c r="D14" s="84" t="n"/>
      <c r="E14" s="84" t="n"/>
      <c r="F14" s="84" t="n"/>
      <c r="G14" s="84" t="n"/>
      <c r="H14" s="84" t="n"/>
      <c r="I14" s="84" t="n"/>
    </row>
    <row r="15" ht="30" customHeight="1" s="49">
      <c r="A15" s="85" t="n"/>
      <c r="B15" s="85" t="n"/>
      <c r="C15" s="85" t="n"/>
      <c r="D15" s="85" t="n"/>
      <c r="E15" s="85" t="n"/>
      <c r="F15" s="85" t="n"/>
      <c r="G15" s="85" t="n"/>
      <c r="H15" s="85" t="n"/>
      <c r="I15" s="85" t="n"/>
    </row>
    <row r="16" ht="25.5" customHeight="1" s="49">
      <c r="A16" s="84" t="n"/>
      <c r="B16" s="84" t="n"/>
      <c r="C16" s="84" t="n"/>
      <c r="D16" s="84" t="n"/>
      <c r="E16" s="84" t="n"/>
      <c r="F16" s="84" t="n"/>
      <c r="G16" s="84" t="n"/>
      <c r="H16" s="84" t="n"/>
      <c r="I16" s="84" t="n"/>
    </row>
    <row r="17" ht="25.5" customHeight="1" s="49">
      <c r="A17" s="85" t="n"/>
      <c r="B17" s="85" t="n"/>
      <c r="C17" s="85" t="n"/>
      <c r="D17" s="85" t="n"/>
      <c r="E17" s="85" t="n"/>
      <c r="F17" s="85" t="n"/>
      <c r="G17" s="85" t="n"/>
      <c r="H17" s="85" t="n"/>
      <c r="I17" s="85" t="n"/>
    </row>
    <row r="18" ht="25.5" customHeight="1" s="49">
      <c r="A18" s="84" t="n"/>
      <c r="B18" s="84" t="n"/>
      <c r="C18" s="84" t="n"/>
      <c r="D18" s="84" t="n"/>
      <c r="E18" s="84" t="n"/>
      <c r="F18" s="84" t="n"/>
      <c r="G18" s="84" t="n"/>
      <c r="H18" s="84" t="n"/>
      <c r="I18" s="84" t="n"/>
    </row>
    <row r="19" ht="25.5" customHeight="1" s="49">
      <c r="A19" s="85" t="n"/>
      <c r="B19" s="85" t="n"/>
      <c r="C19" s="85" t="n"/>
      <c r="D19" s="85" t="n"/>
      <c r="E19" s="85" t="n"/>
      <c r="F19" s="85" t="n"/>
      <c r="G19" s="85" t="n"/>
      <c r="H19" s="85" t="n"/>
      <c r="I19" s="85" t="n"/>
    </row>
    <row r="20" ht="25.5" customHeight="1" s="49"/>
    <row r="21" ht="25.5" customHeight="1" s="49">
      <c r="C21" s="94" t="inlineStr">
        <is>
          <t>This sheet:</t>
        </is>
      </c>
      <c r="D21" s="95">
        <f>COUNTIF($F$8:$F$19,"Green")</f>
        <v/>
      </c>
      <c r="E21" s="96">
        <f>COUNTIF($F$8:$F$19,"Amber")</f>
        <v/>
      </c>
      <c r="F21" s="97">
        <f>COUNTIF($F$8:$F$19,"Red")</f>
        <v/>
      </c>
    </row>
    <row r="22" ht="25.5" customHeight="1" s="49">
      <c r="D22" s="98" t="inlineStr">
        <is>
          <t>Green</t>
        </is>
      </c>
      <c r="E22" s="98" t="inlineStr">
        <is>
          <t>Amber</t>
        </is>
      </c>
      <c r="F22" s="98" t="inlineStr">
        <is>
          <t>Red</t>
        </is>
      </c>
    </row>
    <row r="23" ht="25.5" customHeight="1" s="49"/>
    <row r="24" ht="25.5" customHeight="1" s="49"/>
    <row r="25" ht="25.5" customHeight="1" s="49"/>
    <row r="26" ht="25.5" customHeight="1" s="49"/>
    <row r="27" ht="25.5" customHeight="1" s="49"/>
  </sheetData>
  <mergeCells count="5">
    <mergeCell ref="A2:I2"/>
    <mergeCell ref="B3:C3"/>
    <mergeCell ref="A1:I1"/>
    <mergeCell ref="E3:F3"/>
    <mergeCell ref="H3:I3"/>
  </mergeCells>
  <conditionalFormatting sqref="F7:F27">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7" showDropDown="0" showInputMessage="0" showErrorMessage="0" allowBlank="1" errorTitle="Choose from the list" error="Pick a value from the list." type="list" errorStyle="stop" operator="between">
      <formula1>"BUILD,GROW,LAUNCH"</formula1>
      <formula2>0</formula2>
    </dataValidation>
    <dataValidation sqref="C7:C27"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7:F27" showDropDown="0" showInputMessage="0" showErrorMessage="0" allowBlank="1" errorTitle="Choose from the list" error="Pick a value from the list." type="list" errorStyle="stop" operator="between">
      <formula1>"Green,Amber,Red"</formula1>
      <formula2>0</formula2>
    </dataValidation>
    <dataValidation sqref="H7:H27"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Helen Stewart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