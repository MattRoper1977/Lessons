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4">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8"/>
    </font>
    <font>
      <name val="Arial"/>
      <charset val="1"/>
      <family val="2"/>
      <color rgb="FF566159"/>
      <sz val="10"/>
    </font>
    <font>
      <name val="Arial"/>
      <charset val="1"/>
      <family val="2"/>
      <b val="1"/>
      <color rgb="FF566159"/>
      <sz val="9"/>
    </font>
    <font>
      <name val="Arial"/>
      <charset val="1"/>
      <family val="2"/>
      <b val="1"/>
      <color rgb="FF1B2420"/>
      <sz val="10"/>
    </font>
    <font>
      <name val="Arial"/>
      <charset val="1"/>
      <family val="2"/>
      <b val="1"/>
      <color rgb="FF2E7D4F"/>
      <sz val="10"/>
    </font>
    <font>
      <name val="Arial"/>
      <charset val="1"/>
      <family val="0"/>
      <color rgb="FF2E2A5D"/>
      <sz val="9"/>
    </font>
    <font>
      <name val="Arial"/>
      <charset val="1"/>
      <family val="2"/>
      <b val="1"/>
      <color rgb="FFFFFFFF"/>
      <sz val="9"/>
    </font>
    <font>
      <name val="Arial"/>
      <charset val="1"/>
      <family val="2"/>
      <b val="1"/>
      <color rgb="FF1B2420"/>
      <sz val="9"/>
    </font>
    <font>
      <name val="Calibri"/>
      <charset val="1"/>
      <family val="2"/>
      <color rgb="FF000000"/>
      <sz val="10"/>
    </font>
    <font>
      <name val="Arial"/>
      <charset val="1"/>
      <family val="2"/>
      <color rgb="FF1B2420"/>
      <sz val="9"/>
    </font>
    <font>
      <name val="Arial"/>
      <charset val="1"/>
      <family val="2"/>
      <color theme="1"/>
      <sz val="9"/>
    </font>
    <font>
      <name val="Arial"/>
      <charset val="1"/>
      <family val="2"/>
      <color rgb="FF566159"/>
      <sz val="8"/>
    </font>
    <font>
      <name val="Arial"/>
      <charset val="1"/>
      <family val="2"/>
      <i val="1"/>
      <color rgb="FF566159"/>
      <sz val="8"/>
    </font>
    <font>
      <name val="Arial"/>
      <charset val="1"/>
      <family val="2"/>
      <b val="1"/>
      <color rgb="FFFFFFFF"/>
      <sz val="16"/>
    </font>
    <font>
      <name val="Open Sans"/>
      <charset val="1"/>
      <family val="0"/>
      <color rgb="FF1F2A44"/>
      <sz val="9"/>
    </font>
    <font>
      <name val="Arial"/>
      <charset val="1"/>
      <family val="0"/>
      <color theme="1"/>
      <sz val="9"/>
    </font>
    <font>
      <name val="Arial"/>
      <charset val="1"/>
      <family val="2"/>
      <sz val="10"/>
    </font>
    <font>
      <name val="Arial"/>
      <charset val="1"/>
      <family val="2"/>
      <sz val="9"/>
    </font>
    <font>
      <name val="Arial"/>
      <charset val="1"/>
      <family val="2"/>
      <b val="1"/>
      <color theme="1"/>
      <sz val="9"/>
    </font>
    <font>
      <name val="Arial"/>
      <charset val="1"/>
      <family val="2"/>
      <b val="1"/>
      <color rgb="FFFFFFFF"/>
      <sz val="10"/>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6">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diagonal/>
    </border>
    <border>
      <left style="thin"/>
      <right style="thin"/>
      <top style="thin"/>
      <bottom style="thin"/>
      <diagonal/>
    </border>
    <border>
      <left style="thin">
        <color rgb="FFC3CDC1"/>
      </left>
      <right style="thin">
        <color rgb="FFC3CDC1"/>
      </right>
      <top/>
      <bottom style="thin">
        <color rgb="FFC3CDC1"/>
      </bottom>
      <diagonal/>
    </border>
    <border>
      <left style="thin">
        <color rgb="FFC3CDC1"/>
      </left>
      <right style="thin">
        <color rgb="FFC3CDC1"/>
      </right>
      <top style="thin">
        <color rgb="FFC3CDC1"/>
      </top>
      <bottom style="thin">
        <color rgb="FFC3CDC1"/>
      </bottom>
      <diagonal/>
    </border>
    <border>
      <left style="thin">
        <color rgb="FFC3CDC1"/>
      </left>
      <right/>
      <top style="thin">
        <color rgb="FFC3CDC1"/>
      </top>
      <bottom style="thin">
        <color rgb="FFC3CDC1"/>
      </bottom>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0" borderId="0" applyAlignment="1" pivotButton="0" quotePrefix="0" xfId="0">
      <alignment horizontal="general" vertical="bottom" wrapText="1"/>
    </xf>
    <xf numFmtId="0" fontId="13" fillId="5" borderId="4" applyAlignment="1" pivotButton="0" quotePrefix="0" xfId="0">
      <alignment horizontal="left" vertical="center" wrapText="1"/>
    </xf>
    <xf numFmtId="0" fontId="11" fillId="6" borderId="5" applyAlignment="1" pivotButton="0" quotePrefix="0" xfId="0">
      <alignment horizontal="left" vertical="center" wrapText="1"/>
    </xf>
    <xf numFmtId="0" fontId="13" fillId="6" borderId="5" applyAlignment="1" pivotButton="0" quotePrefix="0" xfId="0">
      <alignment horizontal="left" vertical="center" wrapText="1"/>
    </xf>
    <xf numFmtId="0" fontId="14" fillId="6"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6" borderId="6" applyAlignment="1" pivotButton="0" quotePrefix="0" xfId="0">
      <alignment horizontal="left" vertical="center" wrapText="1"/>
    </xf>
    <xf numFmtId="0" fontId="13" fillId="6"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6" borderId="6" applyAlignment="1" pivotButton="0" quotePrefix="0" xfId="0">
      <alignment horizontal="general" vertical="top" wrapText="1"/>
    </xf>
    <xf numFmtId="0" fontId="15" fillId="6" borderId="6"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9" fillId="0" borderId="4" applyAlignment="1" pivotButton="0" quotePrefix="0" xfId="0">
      <alignment horizontal="general" vertical="center" wrapText="1"/>
    </xf>
    <xf numFmtId="0" fontId="0" fillId="6" borderId="6" applyAlignment="1" pivotButton="0" quotePrefix="0" xfId="0">
      <alignment horizontal="left" vertical="center" wrapText="1"/>
    </xf>
    <xf numFmtId="0" fontId="0" fillId="5" borderId="6" applyAlignment="1" pivotButton="0" quotePrefix="0" xfId="0">
      <alignment horizontal="left" vertical="center" wrapText="1"/>
    </xf>
    <xf numFmtId="0" fontId="20" fillId="0" borderId="0" applyAlignment="1" pivotButton="0" quotePrefix="0" xfId="0">
      <alignment horizontal="left" vertical="center"/>
    </xf>
    <xf numFmtId="0" fontId="10" fillId="7" borderId="0" applyAlignment="1" pivotButton="0" quotePrefix="0" xfId="0">
      <alignment horizontal="center" vertical="center"/>
    </xf>
    <xf numFmtId="0" fontId="21"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6" applyAlignment="1" pivotButton="0" quotePrefix="0" xfId="0">
      <alignment horizontal="left" vertical="center" wrapText="1"/>
    </xf>
    <xf numFmtId="0" fontId="14" fillId="0" borderId="6" applyAlignment="1" pivotButton="0" quotePrefix="0" xfId="0">
      <alignment horizontal="center" vertical="center" wrapText="1"/>
    </xf>
    <xf numFmtId="0" fontId="22" fillId="0" borderId="6" applyAlignment="1" pivotButton="0" quotePrefix="0" xfId="0">
      <alignment horizontal="center" vertical="center" wrapText="1"/>
    </xf>
    <xf numFmtId="0" fontId="0" fillId="6" borderId="6" applyAlignment="1" pivotButton="0" quotePrefix="0" xfId="0">
      <alignment horizontal="left" vertical="center" wrapText="1"/>
    </xf>
    <xf numFmtId="0" fontId="0" fillId="5" borderId="6" applyAlignment="1" pivotButton="0" quotePrefix="0" xfId="0">
      <alignment horizontal="left" vertical="center" wrapText="1"/>
    </xf>
    <xf numFmtId="0" fontId="6" fillId="0" borderId="0" applyAlignment="1" pivotButton="0" quotePrefix="0" xfId="0">
      <alignment horizontal="general" vertical="bottom"/>
    </xf>
    <xf numFmtId="0" fontId="23" fillId="7" borderId="0" applyAlignment="1" pivotButton="0" quotePrefix="0" xfId="0">
      <alignment horizontal="center" vertical="center"/>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15"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10" pivotButton="0" quotePrefix="0" xfId="0"/>
    <xf numFmtId="0" fontId="0" fillId="0" borderId="11" pivotButton="0" quotePrefix="0" xfId="0"/>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0" borderId="0" applyAlignment="1" pivotButton="0" quotePrefix="0" xfId="0">
      <alignment horizontal="general" vertical="bottom" wrapText="1"/>
    </xf>
    <xf numFmtId="0" fontId="13" fillId="5" borderId="4" applyAlignment="1" pivotButton="0" quotePrefix="0" xfId="0">
      <alignment horizontal="left" vertical="center" wrapText="1"/>
    </xf>
    <xf numFmtId="0" fontId="11" fillId="6" borderId="5" applyAlignment="1" pivotButton="0" quotePrefix="0" xfId="0">
      <alignment horizontal="left" vertical="center" wrapText="1"/>
    </xf>
    <xf numFmtId="0" fontId="13" fillId="6" borderId="5" applyAlignment="1" pivotButton="0" quotePrefix="0" xfId="0">
      <alignment horizontal="left" vertical="center" wrapText="1"/>
    </xf>
    <xf numFmtId="0" fontId="14" fillId="6"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6" borderId="6" applyAlignment="1" pivotButton="0" quotePrefix="0" xfId="0">
      <alignment horizontal="left" vertical="center" wrapText="1"/>
    </xf>
    <xf numFmtId="0" fontId="13" fillId="6"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6" borderId="6" applyAlignment="1" pivotButton="0" quotePrefix="0" xfId="0">
      <alignment horizontal="general" vertical="top" wrapText="1"/>
    </xf>
    <xf numFmtId="0" fontId="0" fillId="0" borderId="14" pivotButton="0" quotePrefix="0" xfId="0"/>
    <xf numFmtId="0" fontId="0" fillId="0" borderId="15" pivotButton="0" quotePrefix="0" xfId="0"/>
    <xf numFmtId="0" fontId="15" fillId="6" borderId="6"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9" fillId="0" borderId="4" applyAlignment="1" pivotButton="0" quotePrefix="0" xfId="0">
      <alignment horizontal="general" vertical="center" wrapText="1"/>
    </xf>
    <xf numFmtId="0" fontId="0" fillId="6" borderId="6" applyAlignment="1" pivotButton="0" quotePrefix="0" xfId="0">
      <alignment horizontal="left" vertical="center" wrapText="1"/>
    </xf>
    <xf numFmtId="0" fontId="0" fillId="5" borderId="6" applyAlignment="1" pivotButton="0" quotePrefix="0" xfId="0">
      <alignment horizontal="left" vertical="center" wrapText="1"/>
    </xf>
    <xf numFmtId="0" fontId="20" fillId="0" borderId="0" applyAlignment="1" pivotButton="0" quotePrefix="0" xfId="0">
      <alignment horizontal="left" vertical="center"/>
    </xf>
    <xf numFmtId="0" fontId="10" fillId="7" borderId="0" applyAlignment="1" pivotButton="0" quotePrefix="0" xfId="0">
      <alignment horizontal="center" vertical="center"/>
    </xf>
    <xf numFmtId="0" fontId="21"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6" applyAlignment="1" pivotButton="0" quotePrefix="0" xfId="0">
      <alignment horizontal="left" vertical="center" wrapText="1"/>
    </xf>
    <xf numFmtId="0" fontId="14" fillId="0" borderId="6" applyAlignment="1" pivotButton="0" quotePrefix="0" xfId="0">
      <alignment horizontal="center" vertical="center" wrapText="1"/>
    </xf>
    <xf numFmtId="0" fontId="22" fillId="0" borderId="6" applyAlignment="1" pivotButton="0" quotePrefix="0" xfId="0">
      <alignment horizontal="center" vertical="center" wrapText="1"/>
    </xf>
    <xf numFmtId="0" fontId="6" fillId="0" borderId="0" applyAlignment="1" pivotButton="0" quotePrefix="0" xfId="0">
      <alignment horizontal="general" vertical="bottom"/>
    </xf>
    <xf numFmtId="0" fontId="23" fillId="7" borderId="0" applyAlignment="1" pivotButton="0" quotePrefix="0" xfId="0">
      <alignment horizontal="center" vertical="center"/>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15"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85" zoomScaleNormal="85" zoomScalePageLayoutView="100" workbookViewId="0">
      <pane xSplit="0" ySplit="9" topLeftCell="A17" activePane="bottomLeft" state="frozen"/>
      <selection pane="topLeft" activeCell="A1" activeCellId="0" sqref="A1"/>
      <selection pane="bottomLeft" activeCell="B18" activeCellId="0" sqref="B18"/>
    </sheetView>
  </sheetViews>
  <sheetFormatPr baseColWidth="8" defaultColWidth="8.5625" defaultRowHeight="14.25" zeroHeight="0" outlineLevelRow="0"/>
  <cols>
    <col width="18" customWidth="1" style="48" min="1" max="1"/>
    <col width="20" customWidth="1" style="48" min="2" max="2"/>
    <col width="26" customWidth="1" style="48" min="3" max="4"/>
    <col width="16" customWidth="1" style="48" min="5" max="5"/>
    <col width="20" customWidth="1" style="48" min="6" max="6"/>
    <col width="10" customWidth="1" style="48" min="7" max="7"/>
    <col width="26" customWidth="1" style="48" min="8" max="8"/>
    <col width="22" customWidth="1" style="48" min="9" max="10"/>
  </cols>
  <sheetData>
    <row r="1" ht="30" customHeight="1" s="49">
      <c r="A1" s="50" t="inlineStr">
        <is>
          <t>Weekly Planner - To be submitted to Head of School prior to the start of each Half-Term</t>
        </is>
      </c>
    </row>
    <row r="2" ht="14.25" customHeight="1" s="49">
      <c r="A2" s="51" t="inlineStr">
        <is>
          <t>Progress Schools  ·  linked to the 2026/27 Schemes of Work</t>
        </is>
      </c>
    </row>
    <row r="3"/>
    <row r="4" ht="19.5" customHeight="1" s="49">
      <c r="A4" s="52" t="inlineStr">
        <is>
          <t>Pathway</t>
        </is>
      </c>
      <c r="B4" s="53" t="inlineStr">
        <is>
          <t>LAUNCH</t>
        </is>
      </c>
      <c r="D4" s="48" t="n">
        <v>5</v>
      </c>
      <c r="F4" s="52" t="inlineStr">
        <is>
          <t>Week no.</t>
        </is>
      </c>
      <c r="G4" s="53" t="n">
        <v>5</v>
      </c>
    </row>
    <row r="5" ht="19.5" customHeight="1" s="49">
      <c r="A5" s="52" t="inlineStr">
        <is>
          <t>Term</t>
        </is>
      </c>
      <c r="B5" s="53" t="inlineStr">
        <is>
          <t>Autumn</t>
        </is>
      </c>
      <c r="F5" s="52" t="inlineStr">
        <is>
          <t>Group / class</t>
        </is>
      </c>
      <c r="G5" s="53" t="n"/>
    </row>
    <row r="6" ht="19.5" customHeight="1" s="49">
      <c r="A6" s="52" t="inlineStr">
        <is>
          <t>Theme</t>
        </is>
      </c>
      <c r="B6" s="54">
        <f>IF(B5="Autumn","Identity &amp; Belonging",IF(B5="Spring","Resilience &amp; Change",IF(B5="Summer","Our World, My Future","pick a term")))</f>
        <v/>
      </c>
      <c r="C6" s="55" t="n"/>
      <c r="D6" s="55" t="n"/>
      <c r="F6" s="52" t="inlineStr">
        <is>
          <t>Teacher</t>
        </is>
      </c>
      <c r="G6" s="53" t="n"/>
    </row>
    <row r="7" ht="19.5" customHeight="1" s="49">
      <c r="A7" s="52" t="inlineStr">
        <is>
          <t>Week commencing</t>
        </is>
      </c>
      <c r="B7" s="56" t="n">
        <v>46293</v>
      </c>
      <c r="F7" s="52" t="inlineStr">
        <is>
          <t>Reviewed by</t>
        </is>
      </c>
      <c r="G7" s="53" t="n"/>
    </row>
    <row r="8" ht="45.75" customHeight="1" s="49">
      <c r="A8" s="57" t="inlineStr">
        <is>
          <t>SMSC/BV this week: Black History Month launches (Thu 1 Oct, runs to W8) — Launch Humanities' migration unit carries it; PSHE's stereotype-and-respect thread supports.  National Poetry Day Thu 1 Oct (tbc).  EVIDENCE: display + evidence platform: cultural; log the BHM launch → log in the SMSC Evidence Tracker.</t>
        </is>
      </c>
      <c r="B8" s="58" t="n"/>
      <c r="C8" s="58" t="n"/>
      <c r="D8" s="58" t="n"/>
      <c r="E8" s="58" t="n"/>
      <c r="F8" s="58" t="n"/>
      <c r="G8" s="58" t="n"/>
      <c r="H8" s="58" t="n"/>
      <c r="I8" s="58" t="n"/>
      <c r="J8" s="59" t="n"/>
    </row>
    <row r="9" ht="30" customHeight="1" s="49">
      <c r="A9" s="60" t="inlineStr">
        <is>
          <t>Subject</t>
        </is>
      </c>
      <c r="B9" s="60" t="inlineStr">
        <is>
          <t>SoW unit (this term)</t>
        </is>
      </c>
      <c r="C9" s="60" t="inlineStr">
        <is>
          <t>This week's outcome</t>
        </is>
      </c>
      <c r="D9" s="60" t="inlineStr">
        <is>
          <t>Activities</t>
        </is>
      </c>
      <c r="E9" s="60" t="inlineStr">
        <is>
          <t>Key vocabulary</t>
        </is>
      </c>
      <c r="F9" s="60" t="inlineStr">
        <is>
          <t>Resources required</t>
        </is>
      </c>
      <c r="G9" s="60" t="inlineStr">
        <is>
          <t>Assess. (F/S)</t>
        </is>
      </c>
      <c r="H9" s="60" t="inlineStr">
        <is>
          <t>Student adaptations</t>
        </is>
      </c>
      <c r="I9" s="60" t="inlineStr">
        <is>
          <t>Classroom support</t>
        </is>
      </c>
      <c r="J9" s="60" t="inlineStr">
        <is>
          <t>Evaluation (after teaching)</t>
        </is>
      </c>
    </row>
    <row r="10" ht="330" customHeight="1" s="49">
      <c r="A10" s="61" t="inlineStr">
        <is>
          <t>English</t>
        </is>
      </c>
      <c r="B10" s="62" t="inlineStr">
        <is>
          <t>Spelling, punctuation and grammar accuracy focus. AO6.</t>
        </is>
      </c>
      <c r="C10" s="62" t="inlineStr">
        <is>
          <t>I can improve the accuracy of my sentences by checking spelling, punctuation and grammar.</t>
        </is>
      </c>
      <c r="D10" s="62" t="inlineStr">
        <is>
          <t>Arrival task: fix 3 common errors → model the 'read aloud, check capitals, check full stops, upgrade one word' routine → edit a model paragraph → students improve their own baseline writing or a short new paragraph → accuracy checklist exit task.</t>
        </is>
      </c>
      <c r="E10" s="62" t="inlineStr">
        <is>
          <t>accuracy, spelling, punctuation, capital letter, full stop, comma, sentence, paragraph, edit</t>
        </is>
      </c>
      <c r="F10" s="62" t="inlineStr">
        <is>
          <t>Error correction slides; SPaG checklist; model paragraph; student writing from baseline where suitable; dictionaries/word mats.</t>
        </is>
      </c>
      <c r="G10" s="63" t="inlineStr">
        <is>
          <t>F</t>
        </is>
      </c>
      <c r="H10" s="62" t="inlineStr">
        <is>
          <t>Focus on 1-2 targets only; coloured checklist; dyslexia-friendly word bank; typing option with spellcheck used as a learning tool; reduced writing quantity.</t>
        </is>
      </c>
      <c r="I10" s="62" t="inlineStr">
        <is>
          <t>TA supports proofreading in small steps and prompts students to find errors rather than correcting for them. Teacher identifies common AO6 targets.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is>
      </c>
      <c r="J10" s="62" t="inlineStr">
        <is>
          <t>To complete after teaching: identify common class errors and individual AO6 targets for next writing lesson.  → Influence: shapes the next instruction and the mock-exam plan; feeds the EHCP/PfA target at review [NS].</t>
        </is>
      </c>
    </row>
    <row r="11" ht="330" customHeight="1" s="49">
      <c r="A11" s="64" t="inlineStr">
        <is>
          <t>Maths</t>
        </is>
      </c>
      <c r="B11" s="65" t="inlineStr">
        <is>
          <t>Numeracy, Money &amp; Financial Capability</t>
        </is>
      </c>
      <c r="C11" s="66" t="inlineStr">
        <is>
          <t>I can understand how wages are calculated and explain the deductions shown on a payslip.</t>
        </is>
      </c>
      <c r="D11" s="65" t="inlineStr">
        <is>
          <t>Explore different ways people earn money through employment.
Calculate wages using hourly pay rates and hours worked.
Identify key information on a payslip, including gross pay, net pay and deductions.
Examine common deductions such as tax, National Insurance and pension contributions.
Compare gross pay and take-home pay.
Complete real-life scenarios involving wages and payslips.
Discuss the importance of checking payslip information for accuracy.
Apply learning to personal budgeting and financial planning activities.
Payslip forensics: real anonymised payslips as a detective task — find gross, net, tax, NI; then a 'first pay-day' simulation: earn a class wage for a timed job and watch the deductions come off live.  Links PSHE W7 rights at work.</t>
        </is>
      </c>
      <c r="E11" s="65" t="inlineStr">
        <is>
          <t>Wage
Salary
Payslip
Earnings
Hourly rate
Gross pay
Net pay
Deduction
Tax
National Insurance
Pension
Income
Overtime
Take-home pay
Employer
Employee</t>
        </is>
      </c>
      <c r="F11" s="65" t="inlineStr">
        <is>
          <t>Sample payslips
Pay-day simulation props and anonymised payslips
Calculators
Case studies and scenario cards
Budget planning templates
Whiteboards and pens
Interactive whiteboard resources
Vocabulary mats
Payslip annotation activities</t>
        </is>
      </c>
      <c r="G11" s="65" t="inlineStr">
        <is>
          <t>F</t>
        </is>
      </c>
      <c r="H11" s="65" t="inlineStr">
        <is>
          <t>Use simplified payslips with clearly labelled sections.
Provide step-by-step guidance for wage calculations.
Use visual supports and vocabulary mats to reinforce key terminology.
Allow the use of calculators where appropriate.
Provide worked examples and structured practice tasks.
Offer additional adult support during calculations and discussions.
Extend learning through more complex wage and deduction calculations.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1" s="65" t="inlineStr">
        <is>
          <t>Teacher modelling of wage calculations and payslip interpretation.
Guided group work and targeted adult support.
Regular reinforcement of financial terminology.
Use of real-life examples to make learning meaningful and relevant.
Opportunities for discussion and questioning to develop understanding.
Ongoing assessment through practical activities, observation and feedback.
Positive reinforcement to build confidence in financial literacy skills.
LOOP [Feedback Policy]: Voice = mini-whiteboard show-me / worked re-do [VF, I] → Audience: mark against the method, one [NS]; [R] on an accurate re-do → EVIDENCE: station photo + book (payslips/ratio), same day [E: numeracy/PfA — counts toward the 3-piece weekly minimum].</t>
        </is>
      </c>
      <c r="J11" s="65" t="inlineStr">
        <is>
          <t>Influence: the grade-push skill identified shapes the next lesson and the December summative plan [NS].</t>
        </is>
      </c>
    </row>
    <row r="12" ht="360" customHeight="1" s="49">
      <c r="A12" s="67" t="inlineStr">
        <is>
          <t>Science</t>
        </is>
      </c>
      <c r="B12" s="68" t="inlineStr">
        <is>
          <t>Edexcel GCSE Biology 1BI0 Foundation · Paper 1 · Topic 1 - Aut1·W5 (Discover)</t>
        </is>
      </c>
      <c r="C12" s="68" t="inlineStr">
        <is>
          <t>Discover: I can define osmosis and explain how it differs from diffusion. | Use: I can carry out the osmosis core practical and calculate the percentage change in mass. | Master: I can analyse osmosis results with a graph and evaluate the method independently.</t>
        </is>
      </c>
      <c r="D12" s="68" t="inlineStr">
        <is>
          <t>THREE lessons this week (Discover -&gt; Use -&gt; Master), one per 40-min period. Each a v5 whiteboard deck with 3-tier print pack + Assessor Witness Statement.</t>
        </is>
      </c>
      <c r="E12" s="68" t="inlineStr">
        <is>
          <t>osmosis, partially permeable, dilute, concentrated, solute, core practical, control variable, percentage change, initial mass, blot, analyse, evaluate, anomaly, isotonic point, repeat</t>
        </is>
      </c>
      <c r="F12" s="68" t="inlineStr">
        <is>
          <t>Science_Teesside/Launch/SCI_L_W5_L1_Osmosis.html; Science_Teesside/Launch/SCI_L_W5_L2_OsmosisCP.html; Science_Teesside/Launch/SCI_L_W5_L3_Evaluate.html</t>
        </is>
      </c>
      <c r="G12" s="68" t="inlineStr">
        <is>
          <t>F</t>
        </is>
      </c>
      <c r="H12" s="68" t="inlineStr">
        <is>
          <t>Tiered 3 ways (Supported/Standard/Stretch) at arrival, independent work and exit. Maths scaffolds at every tier. Core-practical work involves glassware, cork borers and a 30-minute wait. Agree who handles blades before the lesson. A pupil who weighs, records, calculates or plots is doing the assessed science - cutting the potato is not the science.</t>
        </is>
      </c>
      <c r="I12" s="68" t="inlineStr">
        <is>
          <t>TA supervises cutting and runs the balance station; teacher keeps the % change worked example on display. Knife safety brief before kit is out, not after.  LOOP [Feedback Policy]: Voice = core-practical write-up / % change calc / prediction [//, NS, I] → Audience: mark against the mark scheme, name the improvement before [R]; deferred response 10–15 min next lesson for write-ups → EVIDENCE: coded, redrafted write-up + results table photo [E: science — banks the osmosis CP for 1BI0].</t>
        </is>
      </c>
      <c r="J12" s="68" t="inlineStr">
        <is>
          <t>Note who blots consistently (the commonest source of error) and who can say why % change beats grams.  → Influence: this write-up is the baseline for CP write-ups in W7–W8; the gap shapes the December summative plan and the EHCP/PfA target at review [NS]. Osmosis CP banked — record on the core-practical tracker.</t>
        </is>
      </c>
    </row>
    <row r="13" ht="330" customHeight="1" s="49">
      <c r="A13" s="69" t="inlineStr">
        <is>
          <t>PSHE / RSE</t>
        </is>
      </c>
      <c r="B13" s="70" t="inlineStr">
        <is>
          <t>Identity, relationships &amp; rights in adult life · PSHE Association SEND framework · AQA UAS 'Healthy relationships' · SoW Aut1·W5</t>
        </is>
      </c>
      <c r="C13" s="70" t="inlineStr">
        <is>
          <t>I can recognise pressure and use an exit strategy that keeps my self-respect.</t>
        </is>
      </c>
      <c r="D13" s="70" t="inlineStr">
        <is>
          <t>Pressure-scenario carousel (third-person cards: lending money, skipping class, sending a photo, 'everyone's doing it') → refusal styles lab: act the same 'no' three ways — passive, aggressive, assertive — and feel the difference → build an exit-line bank as a class → design a personal exit-plan card (my line, my excuse, my person to text).  EVIDENCE: rehearsal clips + exit-plan cards (AQA UAS).  STRETCH: why does pressure work? — conformity in one minute.</t>
        </is>
      </c>
      <c r="E13" s="70" t="inlineStr">
        <is>
          <t>pressure, influence, assertive, refuse, exit, self-respect</t>
        </is>
      </c>
      <c r="F13" s="70" t="inlineStr">
        <is>
          <t>Scenario carousel cards; refusal-style prompt cards; exit-line bank wall; personal card blanks; camera/voice recorder.</t>
        </is>
      </c>
      <c r="G13" s="70" t="inlineStr">
        <is>
          <t>F</t>
        </is>
      </c>
      <c r="H13" s="70" t="inlineStr">
        <is>
          <t>Rehearsal in pairs with a TA option — never solo to the room; assertive practice is coached, not corrected publicly.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3" s="70" t="inlineStr">
        <is>
          <t>TA plays the 'pressurer' so pupils never pressure each other; teacher coaches the assertive version live; clips are the evidence.
LOOP [Feedback Policy]: Voice = recorded micro-interview / script-flip / portfolio piece [VF] → Audience: listen fully, name one strength + one [NS] before tagging; then [R] → EVIDENCE: recording/portfolio to evidence platform, same day [E: PfA/careers/transition — weekly PfA minimum].</t>
        </is>
      </c>
      <c r="J13" s="70" t="inlineStr">
        <is>
          <t>Influence: feeds each pupil's real destination (college/barbering) → PfA plan and IEDP Outcome 5 [NS].</t>
        </is>
      </c>
    </row>
    <row r="14" ht="330" customHeight="1" s="49">
      <c r="A14" s="67" t="inlineStr">
        <is>
          <t>RE</t>
        </is>
      </c>
      <c r="B14" s="68" t="inlineStr">
        <is>
          <t>Belief, Identity &amp; Belonging</t>
        </is>
      </c>
      <c r="C14" s="68" t="inlineStr">
        <is>
          <t>I can write a structured explanation that clearly describes religious and ethical beliefs and gives reasons for different viewpoints.</t>
        </is>
      </c>
      <c r="D14" s="68" t="inlineStr">
        <is>
          <t>Writing week — built physically first: assemble Point / Evidence / Explain as literal card layers on the desk, rearrange until the argument stands up → THEN write one quality explanation of a religious or ethical viewpoint on preferred paper with sentence starters → peer feedback spoken as 'two stars and a wish' — recorded, not written.  EVIDENCE: the paragraph + recorded feedback (AQA UAS).  STRETCH: answer with the GCSE RS command word — 'Explain two ways…' — and count your two ways on your fingers before writing.</t>
        </is>
      </c>
      <c r="E14" s="68" t="inlineStr">
        <is>
          <t>Explain
Reason
Belief
Viewpoint
Evidence
Teachings
Source of authority
Religion
Ethics
Influence
Because
Therefore
For example
Impact
Justify
Perspective</t>
        </is>
      </c>
      <c r="F14" s="68" t="inlineStr">
        <is>
          <t>P/E/E card layer sets; sentence-starter mats; magenta/preferred paper; recorder; quality-not-quantity success criteria card.</t>
        </is>
      </c>
      <c r="G14" s="68" t="inlineStr">
        <is>
          <t>F</t>
        </is>
      </c>
      <c r="H14" s="68" t="inlineStr">
        <is>
          <t>One excellent paragraph beats three rushed ones — quantity capped deliberately; scribing/typing available; feedback is spoken so nobody marks anybody's spelling.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4" s="68" t="inlineStr">
        <is>
          <t>TA builds the card layers alongside pupils; teacher live-marks one model paragraph on the visualiser first; the desk-build photo shows the thinking.
LOOP [Feedback Policy]: Voice = P-E-E paragraph + spoken viva; green-pen upgrade [//, NS, ?] → Audience: mark against the RS scheme and name the improvement; deferred response for the write; [R] after the upgrade is received → EVIDENCE: paragraph + before/after photo + viva clip [E: RE].</t>
        </is>
      </c>
      <c r="J14" s="68" t="inlineStr">
        <is>
          <t>Influence: the command-word skill shapes the next exam-style question and the December summative [NS].</t>
        </is>
      </c>
    </row>
    <row r="15" ht="330" customHeight="1" s="49">
      <c r="A15" s="69" t="inlineStr">
        <is>
          <t>Humanities</t>
        </is>
      </c>
      <c r="B15" s="68" t="inlineStr">
        <is>
          <t>NC KS3/4 History — diverse British history: people who shaped modern Britain (Black History Month). Links English (Natives) and RE identity work.</t>
        </is>
      </c>
      <c r="C15" s="68" t="inlineStr">
        <is>
          <t>I can describe one person who helped shape modern Britain and explain why they matter.</t>
        </is>
      </c>
      <c r="D15" s="68" t="inlineStr">
        <is>
          <t>Arrival task: 'who might this be?' — one clue-card reveal → model a mini-profile (who / what they did / why it matters) → we do: build a profile of one figure together → you do: choose a person from a diverse BHM-linked menu and complete a profile card → exit: '…mattered because…' stem; add the card to a class 'People Who Shaped Britain' wall.</t>
        </is>
      </c>
      <c r="E15" s="68" t="inlineStr">
        <is>
          <t>identity, contribution, legacy, diversity, community, significance, Black History Month, belonging, change</t>
        </is>
      </c>
      <c r="F15" s="68" t="inlineStr">
        <is>
          <t>Diverse figure menu (BHM-linked, including local Teesside figures where possible); profile-card frame; pre-saved images/short bios; magenta copies; class display wall.</t>
        </is>
      </c>
      <c r="G15" s="68" t="inlineStr">
        <is>
          <t>F</t>
        </is>
      </c>
      <c r="H15" s="68" t="inlineStr">
        <is>
          <t>Curated menu (choice + no open searching). Pupil B completes the card solo with a frame; Pupil A reads to self with discreet questioning; verbal profile accepted; word/quotation bank; shared English vocabulary reused.
Pupil C: never on the spot or publicly corrected; calm, quiet encouragement; clear success criteria and model examples; challenge on, pressure off when confidence dips.</t>
        </is>
      </c>
      <c r="I15" s="68" t="inlineStr">
        <is>
          <t>TA models one profile box; teacher keeps the 'who / what / why' structure visible; contributions celebrated on the wall (no ranking).
LOOP [Feedback Policy]: Voice = source-based edit / structured account [//, NS] → Audience: read against the criteria and name the change; deferred for the account; then [R] → EVIDENCE: coded book + enrichment photos [E: humanities].</t>
        </is>
      </c>
      <c r="J15" s="68" t="inlineStr">
        <is>
          <t>Note who explains significance ('why it matters') vs who only lists facts.  → Influence: assessment technique shapes the next enquiry's scaffold [NS].</t>
        </is>
      </c>
    </row>
    <row r="16" ht="330" customHeight="1" s="49">
      <c r="A16" s="71" t="inlineStr">
        <is>
          <t>Arts (Arts Award)</t>
        </is>
      </c>
      <c r="B16" s="68" t="inlineStr">
        <is>
          <t>Trinity Arts Award, Unit 1 Part C — plan to experience the arts; arts log.</t>
        </is>
      </c>
      <c r="C16" s="68" t="inlineStr">
        <is>
          <t>I can plan how I will experience an arts event and say what I hope to get from it.</t>
        </is>
      </c>
      <c r="D16" s="68" t="inlineStr">
        <is>
          <t>Arrival task: 'which of these counts as art?' — quick sort (gallery, gig, film, mural) → model a simple plan (what / when / what I'll look for) → we do: plan a class arts experience together (e.g. a virtual gallery tour) → you do: complete your own arts-experience plan in the log → exit: 'I chose this because…' stem.</t>
        </is>
      </c>
      <c r="E16" s="68" t="inlineStr">
        <is>
          <t>experience, event, plan, gallery, exhibition, performance, review, purpose, arts log</t>
        </is>
      </c>
      <c r="F16" s="68" t="inlineStr">
        <is>
          <t>Menu of accessible experiences (virtual gallery tour, local exhibition, film); planning frame; magenta copies; device for the virtual option; a light-based/installation option linked to Pupil A's interest.</t>
        </is>
      </c>
      <c r="G16" s="68" t="inlineStr">
        <is>
          <t>F</t>
        </is>
      </c>
      <c r="H16" s="68" t="inlineStr">
        <is>
          <t>Choice of experience (autonomy). Virtual option removes trip-anxiety barrier. Pupil A offered a light/installation experience tied to her PfA goal. Pupil B plans independently with a frame; verbal or written plan; stems.
Pupil C: never on the spot or publicly corrected; calm, quiet encouragement; clear success criteria and model examples; challenge on, pressure off when confidence dips.</t>
        </is>
      </c>
      <c r="I16" s="68" t="inlineStr">
        <is>
          <t>TA supports choosing and planning; teacher models purpose ('what will you look for?'). Plan banks Arts Award Unit 1 Part C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is>
      </c>
      <c r="J16" s="68" t="inlineStr">
        <is>
          <t>Note who links their choice to a purpose vs who chooses at random; check the plan is realistic and logged.  → Influence: the portfolio builds toward Silver → accreditation next step at moderation [NS].</t>
        </is>
      </c>
    </row>
    <row r="17" ht="45.75" customHeight="1" s="49">
      <c r="A17" s="69" t="inlineStr">
        <is>
          <t>PE</t>
        </is>
      </c>
      <c r="B17" s="70" t="n"/>
      <c r="C17" s="70" t="n"/>
      <c r="D17" s="70" t="n"/>
      <c r="E17" s="70" t="n"/>
      <c r="F17" s="70" t="n"/>
      <c r="G17" s="70" t="n"/>
      <c r="H17" s="70" t="n"/>
      <c r="I17" s="70" t="n"/>
      <c r="J17" s="70" t="n"/>
    </row>
    <row r="18" ht="45.75" customHeight="1" s="49">
      <c r="A18" s="67" t="inlineStr">
        <is>
          <t>Careers / Vocational (ASDAN)</t>
        </is>
      </c>
      <c r="B18" s="68" t="inlineStr">
        <is>
          <t xml:space="preserve">
Looking after myself &amp; my home</t>
        </is>
      </c>
      <c r="C18" s="68" t="inlineStr">
        <is>
          <t>I can identify important personal responsibilities and ways to keep my information organised.</t>
        </is>
      </c>
      <c r="D18" s="68" t="inlineStr">
        <is>
          <t>Discuss different types of responsibilities.
Match common documents to their purpose.
Explore methods for organising information safely.
Complete a personal responsibility checklist.</t>
        </is>
      </c>
      <c r="E18" s="68" t="inlineStr">
        <is>
          <t>Responsibility
Appointment
Document
Budget
Deadline
Organisation</t>
        </is>
      </c>
      <c r="F18" s="68" t="inlineStr">
        <is>
          <t>Example documents (letters, appointment cards, bills)
Organisation checklist
Folder or organiser examples</t>
        </is>
      </c>
      <c r="G18" s="68" t="n"/>
      <c r="H18" s="68" t="inlineStr">
        <is>
          <t>Simplified document matching activities.
Visual examples of important paperwork.
Supported discussion and questioning.
Extension: Create a weekly planner for appointments and tasks.</t>
        </is>
      </c>
      <c r="I18" s="68" t="inlineStr">
        <is>
          <t xml:space="preserve">Explain unfamiliar documents clearly.
Use real-life examples to increase relevance.
Provide scaffolded organisation templates.
Support students with reading and interpreting documents.
Reinforce the importance of personal responsibility.
</t>
        </is>
      </c>
      <c r="J18" s="68" t="n"/>
    </row>
    <row r="20" ht="18" customHeight="1" s="49">
      <c r="A20" s="72" t="inlineStr">
        <is>
          <t>Enrichment &amp; wider opportunities this week   (trips, visitors, themed days, SMSC calendar link, PfA / community)</t>
        </is>
      </c>
    </row>
    <row r="21" ht="117.75" customHeight="1" s="49">
      <c r="A21" s="73" t="n"/>
      <c r="B21" s="74" t="n"/>
      <c r="C21" s="74" t="n"/>
      <c r="D21" s="74" t="n"/>
      <c r="E21" s="74" t="n"/>
      <c r="F21" s="74" t="n"/>
      <c r="G21" s="74" t="n"/>
      <c r="H21" s="74" t="n"/>
      <c r="I21" s="74" t="n"/>
      <c r="J21" s="75" t="n"/>
    </row>
    <row r="22" ht="18" customHeight="1" s="49">
      <c r="A22" s="72" t="inlineStr">
        <is>
          <t>Resources &amp; support to prepare before the week   (printing, kit, bookings, briefing the team)</t>
        </is>
      </c>
    </row>
    <row r="23" ht="147.75" customHeight="1" s="49">
      <c r="A23" s="76" t="n"/>
      <c r="B23" s="74" t="n"/>
      <c r="C23" s="74" t="n"/>
      <c r="D23" s="74" t="n"/>
      <c r="E23" s="74" t="n"/>
      <c r="F23" s="74" t="n"/>
      <c r="G23" s="74" t="n"/>
      <c r="H23" s="74" t="n"/>
      <c r="I23" s="74" t="n"/>
      <c r="J23" s="75" t="n"/>
    </row>
    <row r="24" ht="14.25" customHeight="1" s="49">
      <c r="A24" s="77"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baseColWidth="8" defaultColWidth="8.5625" defaultRowHeight="14.25" zeroHeight="0" outlineLevelRow="0"/>
  <cols>
    <col width="16" customWidth="1" style="48" min="1" max="1"/>
    <col width="11" customWidth="1" style="48" min="2" max="2"/>
    <col width="10" customWidth="1" style="48" min="3" max="3"/>
    <col width="15" customWidth="1" style="48" min="4" max="4"/>
    <col width="26" customWidth="1" style="48" min="5" max="5"/>
    <col width="28" customWidth="1" style="48" min="6" max="7"/>
    <col width="18" customWidth="1" style="48" min="8" max="8"/>
    <col width="22" customWidth="1" style="48" min="9" max="9"/>
  </cols>
  <sheetData>
    <row r="1" ht="25.5" customHeight="1" s="49">
      <c r="A1" s="78" t="inlineStr">
        <is>
          <t>Student Adaptations</t>
        </is>
      </c>
    </row>
    <row r="2" ht="14.25" customHeight="1" s="49">
      <c r="A2" s="51" t="n"/>
    </row>
    <row r="4" ht="27.75" customHeight="1" s="49">
      <c r="A4" s="79" t="inlineStr">
        <is>
          <t>Name</t>
        </is>
      </c>
      <c r="B4" s="79" t="inlineStr">
        <is>
          <t>Pathway</t>
        </is>
      </c>
      <c r="C4" s="79" t="inlineStr">
        <is>
          <t>Year / KS</t>
        </is>
      </c>
      <c r="D4" s="79" t="inlineStr">
        <is>
          <t>Reading age band</t>
        </is>
      </c>
      <c r="E4" s="79" t="inlineStr">
        <is>
          <t>Communication / sensory needs</t>
        </is>
      </c>
      <c r="F4" s="79" t="inlineStr">
        <is>
          <t>Key scaffolds &amp; adaptations</t>
        </is>
      </c>
      <c r="G4" s="79" t="inlineStr">
        <is>
          <t>EHCP primary outcomes</t>
        </is>
      </c>
      <c r="H4" s="79" t="inlineStr">
        <is>
          <t>PfA focus</t>
        </is>
      </c>
      <c r="I4" s="79" t="inlineStr">
        <is>
          <t>Notes</t>
        </is>
      </c>
    </row>
    <row r="5" ht="136.5" customHeight="1" s="49">
      <c r="A5" s="67" t="inlineStr">
        <is>
          <t>Pupil A</t>
        </is>
      </c>
      <c r="B5" s="68" t="inlineStr">
        <is>
          <t>LAUNCH</t>
        </is>
      </c>
      <c r="C5" s="68" t="inlineStr">
        <is>
          <t>KS4</t>
        </is>
      </c>
      <c r="D5" s="80" t="n"/>
      <c r="E5" s="68" t="n"/>
      <c r="F5" s="81" t="n"/>
      <c r="G5" s="68" t="n"/>
      <c r="H5" s="68" t="n"/>
      <c r="I5" s="68" t="n"/>
    </row>
    <row r="6" ht="42" customHeight="1" s="49">
      <c r="A6" s="67" t="inlineStr">
        <is>
          <t>Pupil B</t>
        </is>
      </c>
      <c r="B6" s="68" t="inlineStr">
        <is>
          <t>LAUNCH</t>
        </is>
      </c>
      <c r="C6" s="68" t="inlineStr">
        <is>
          <t>KS4</t>
        </is>
      </c>
      <c r="D6" s="80" t="n"/>
      <c r="E6" s="81" t="n"/>
      <c r="F6" s="68" t="n"/>
      <c r="G6" s="68" t="n"/>
      <c r="H6" s="68" t="n"/>
      <c r="I6" s="68" t="n"/>
    </row>
    <row r="7" ht="42" customHeight="1" s="49">
      <c r="A7" s="67" t="inlineStr">
        <is>
          <t>Pupil C</t>
        </is>
      </c>
      <c r="B7" s="68" t="inlineStr">
        <is>
          <t>LAUNCH</t>
        </is>
      </c>
      <c r="C7" s="68" t="inlineStr">
        <is>
          <t>KS4</t>
        </is>
      </c>
      <c r="D7" s="82" t="n"/>
      <c r="E7" s="83" t="n"/>
      <c r="F7" s="83" t="n"/>
      <c r="G7" s="63" t="n"/>
      <c r="H7" s="63" t="n"/>
      <c r="I7" s="83" t="n"/>
    </row>
    <row r="8" ht="30" customHeight="1" s="49">
      <c r="A8" s="84" t="n"/>
      <c r="B8" s="84" t="n"/>
      <c r="C8" s="84" t="n"/>
      <c r="D8" s="84" t="n"/>
      <c r="E8" s="84" t="n"/>
      <c r="F8" s="84" t="n"/>
      <c r="G8" s="84" t="n"/>
      <c r="H8" s="84" t="n"/>
      <c r="I8" s="84" t="n"/>
    </row>
    <row r="9" ht="30" customHeight="1" s="49">
      <c r="A9" s="85" t="n"/>
      <c r="B9" s="85" t="n"/>
      <c r="C9" s="85" t="n"/>
      <c r="D9" s="85" t="n"/>
      <c r="E9" s="85" t="n"/>
      <c r="F9" s="85" t="n"/>
      <c r="G9" s="85" t="n"/>
      <c r="H9" s="85" t="n"/>
      <c r="I9" s="85" t="n"/>
    </row>
    <row r="10" ht="30" customHeight="1" s="49">
      <c r="A10" s="84" t="n"/>
      <c r="B10" s="84" t="n"/>
      <c r="C10" s="84" t="n"/>
      <c r="D10" s="84" t="n"/>
      <c r="E10" s="84" t="n"/>
      <c r="F10" s="84" t="n"/>
      <c r="G10" s="84" t="n"/>
      <c r="H10" s="84" t="n"/>
      <c r="I10" s="84" t="n"/>
    </row>
    <row r="11" ht="30" customHeight="1" s="49">
      <c r="A11" s="85" t="n"/>
      <c r="B11" s="85" t="n"/>
      <c r="C11" s="85" t="n"/>
      <c r="D11" s="85" t="n"/>
      <c r="E11" s="85" t="n"/>
      <c r="F11" s="85" t="n"/>
      <c r="G11" s="85" t="n"/>
      <c r="H11" s="85" t="n"/>
      <c r="I11" s="85" t="n"/>
    </row>
    <row r="12" ht="30" customHeight="1" s="49">
      <c r="A12" s="84" t="n"/>
      <c r="B12" s="84" t="n"/>
      <c r="C12" s="84" t="n"/>
      <c r="D12" s="84" t="n"/>
      <c r="E12" s="84" t="n"/>
      <c r="F12" s="84" t="n"/>
      <c r="G12" s="84" t="n"/>
      <c r="H12" s="84" t="n"/>
      <c r="I12" s="84" t="n"/>
    </row>
    <row r="13" ht="30" customHeight="1" s="49">
      <c r="A13" s="85" t="n"/>
      <c r="B13" s="85" t="n"/>
      <c r="C13" s="85" t="n"/>
      <c r="D13" s="85" t="n"/>
      <c r="E13" s="85" t="n"/>
      <c r="F13" s="85" t="n"/>
      <c r="G13" s="85" t="n"/>
      <c r="H13" s="85" t="n"/>
      <c r="I13" s="85" t="n"/>
    </row>
    <row r="14" ht="30" customHeight="1" s="49">
      <c r="A14" s="84" t="n"/>
      <c r="B14" s="84" t="n"/>
      <c r="C14" s="84" t="n"/>
      <c r="D14" s="84" t="n"/>
      <c r="E14" s="84" t="n"/>
      <c r="F14" s="84" t="n"/>
      <c r="G14" s="84" t="n"/>
      <c r="H14" s="84" t="n"/>
      <c r="I14" s="84" t="n"/>
    </row>
    <row r="15" ht="30" customHeight="1" s="49">
      <c r="A15" s="85" t="n"/>
      <c r="B15" s="85" t="n"/>
      <c r="C15" s="85" t="n"/>
      <c r="D15" s="85" t="n"/>
      <c r="E15" s="85" t="n"/>
      <c r="F15" s="85" t="n"/>
      <c r="G15" s="85" t="n"/>
      <c r="H15" s="85" t="n"/>
      <c r="I15" s="85" t="n"/>
    </row>
    <row r="16" ht="30" customHeight="1" s="49">
      <c r="A16" s="84" t="n"/>
      <c r="B16" s="84" t="n"/>
      <c r="C16" s="84" t="n"/>
      <c r="D16" s="84" t="n"/>
      <c r="E16" s="84" t="n"/>
      <c r="F16" s="84" t="n"/>
      <c r="G16" s="84" t="n"/>
      <c r="H16" s="84" t="n"/>
      <c r="I16" s="84" t="n"/>
    </row>
    <row r="17" ht="30" customHeight="1" s="49">
      <c r="A17" s="85" t="n"/>
      <c r="B17" s="85" t="n"/>
      <c r="C17" s="85" t="n"/>
      <c r="D17" s="85" t="n"/>
      <c r="E17" s="85" t="n"/>
      <c r="F17" s="85" t="n"/>
      <c r="G17" s="85" t="n"/>
      <c r="H17" s="85" t="n"/>
      <c r="I17" s="85" t="n"/>
    </row>
    <row r="18" ht="30" customHeight="1" s="49">
      <c r="A18" s="84" t="n"/>
      <c r="B18" s="84" t="n"/>
      <c r="C18" s="84" t="n"/>
      <c r="D18" s="84" t="n"/>
      <c r="E18" s="84" t="n"/>
      <c r="F18" s="84" t="n"/>
      <c r="G18" s="84" t="n"/>
      <c r="H18" s="84" t="n"/>
      <c r="I18" s="84" t="n"/>
    </row>
    <row r="19" ht="30" customHeight="1" s="49">
      <c r="A19" s="85" t="n"/>
      <c r="B19" s="85" t="n"/>
      <c r="C19" s="85" t="n"/>
      <c r="D19" s="85" t="n"/>
      <c r="E19" s="85" t="n"/>
      <c r="F19" s="85" t="n"/>
      <c r="G19" s="85" t="n"/>
      <c r="H19" s="85" t="n"/>
      <c r="I19" s="85"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13" activeCellId="0" sqref="B13"/>
    </sheetView>
  </sheetViews>
  <sheetFormatPr baseColWidth="8" defaultColWidth="8.5625" defaultRowHeight="14.25" zeroHeight="0" outlineLevelRow="0"/>
  <cols>
    <col width="12" customWidth="1" style="48" min="1" max="1"/>
    <col width="11" customWidth="1" style="48" min="2" max="2"/>
    <col width="16" customWidth="1" style="48" min="3" max="3"/>
    <col width="28" customWidth="1" style="48" min="4" max="4"/>
    <col width="24" customWidth="1" style="48" min="5" max="5"/>
    <col width="9" customWidth="1" style="48" min="6" max="6"/>
    <col width="24" customWidth="1" style="48" min="7" max="7"/>
    <col width="18" customWidth="1" style="48" min="8" max="8"/>
    <col width="26" customWidth="1" style="48" min="9" max="9"/>
  </cols>
  <sheetData>
    <row r="1" ht="25.5" customHeight="1" s="49">
      <c r="A1" s="78" t="inlineStr">
        <is>
          <t xml:space="preserve">Outcome Tracker </t>
        </is>
      </c>
    </row>
    <row r="2" ht="14.25" customHeight="1" s="49">
      <c r="A2" s="86" t="inlineStr">
        <is>
          <t xml:space="preserve">Did everyone make progress and meet the outcome? </t>
        </is>
      </c>
    </row>
    <row r="3" ht="18" customHeight="1" s="49">
      <c r="A3" s="87" t="inlineStr">
        <is>
          <t>GREEN</t>
        </is>
      </c>
      <c r="B3" s="88" t="inlineStr">
        <is>
          <t>All demonstrated progress &amp; achieved the outcome</t>
        </is>
      </c>
      <c r="D3" s="89" t="inlineStr">
        <is>
          <t>AMBER</t>
        </is>
      </c>
      <c r="E3" s="88" t="inlineStr">
        <is>
          <t>Partly met, revisit in class</t>
        </is>
      </c>
      <c r="G3" s="90" t="inlineStr">
        <is>
          <t>RED</t>
        </is>
      </c>
      <c r="H3" s="88" t="inlineStr">
        <is>
          <t>Not met, pick up through intervention</t>
        </is>
      </c>
    </row>
    <row r="4"/>
    <row r="5" ht="27.75" customHeight="1" s="49">
      <c r="A5" s="79" t="inlineStr">
        <is>
          <t>Week (w/c)</t>
        </is>
      </c>
      <c r="B5" s="79" t="inlineStr">
        <is>
          <t>Pathway</t>
        </is>
      </c>
      <c r="C5" s="79" t="inlineStr">
        <is>
          <t>Subject</t>
        </is>
      </c>
      <c r="D5" s="79" t="inlineStr">
        <is>
          <t>Outcome reviewed</t>
        </is>
      </c>
      <c r="E5" s="79" t="inlineStr">
        <is>
          <t>Marking / evidence</t>
        </is>
      </c>
      <c r="F5" s="79" t="inlineStr">
        <is>
          <t>RAG</t>
        </is>
      </c>
      <c r="G5" s="79" t="inlineStr">
        <is>
          <t>Students not yet secure</t>
        </is>
      </c>
      <c r="H5" s="79" t="inlineStr">
        <is>
          <t>Picked up via</t>
        </is>
      </c>
      <c r="I5" s="79" t="inlineStr">
        <is>
          <t>Action &amp; timescale</t>
        </is>
      </c>
    </row>
    <row r="6" ht="27.75" customHeight="1" s="49">
      <c r="A6" s="91" t="n">
        <v>46293</v>
      </c>
      <c r="B6" s="68" t="inlineStr">
        <is>
          <t>LAUNCH</t>
        </is>
      </c>
      <c r="C6" s="92" t="inlineStr">
        <is>
          <t>English</t>
        </is>
      </c>
      <c r="D6" s="62" t="inlineStr">
        <is>
          <t>Students edited their own or model writing for basic accuracy, sentence control and punctuation.</t>
        </is>
      </c>
      <c r="E6" s="93" t="n"/>
      <c r="F6" s="93" t="n"/>
      <c r="G6" s="93" t="n"/>
      <c r="H6" s="93" t="n"/>
      <c r="I6" s="93" t="n"/>
    </row>
    <row r="7" ht="54.75" customHeight="1" s="49">
      <c r="A7" s="91" t="n">
        <v>46293</v>
      </c>
      <c r="B7" s="68" t="inlineStr">
        <is>
          <t>LAUNCH</t>
        </is>
      </c>
      <c r="C7" s="84" t="inlineStr">
        <is>
          <t>Maths</t>
        </is>
      </c>
      <c r="D7" s="66" t="inlineStr">
        <is>
          <t>I can understand how wages are calculated and explain the deductions shown on a payslip.</t>
        </is>
      </c>
      <c r="E7" s="84" t="n"/>
      <c r="F7" s="84" t="n"/>
      <c r="G7" s="84" t="n"/>
      <c r="H7" s="84" t="n"/>
      <c r="I7" s="84" t="n"/>
    </row>
    <row r="8" ht="30" customHeight="1" s="49">
      <c r="A8" s="91" t="n">
        <v>46293</v>
      </c>
      <c r="B8" s="68" t="inlineStr">
        <is>
          <t>LAUNCH</t>
        </is>
      </c>
      <c r="C8" s="68" t="inlineStr">
        <is>
          <t>Science</t>
        </is>
      </c>
      <c r="D8" s="68" t="inlineStr">
        <is>
          <t>Discover: I can define osmosis and explain how it differs from diffusion. | Use: I can carry out the osmosis core practical and calculate the percentage change in mass. | Master: I can analyse osmosis</t>
        </is>
      </c>
      <c r="E8" s="68" t="n"/>
      <c r="F8" s="68" t="n"/>
      <c r="G8" s="68" t="n"/>
      <c r="H8" s="68" t="n"/>
      <c r="I8" s="68" t="n"/>
    </row>
    <row r="9" ht="30" customHeight="1" s="49">
      <c r="A9" s="91" t="n">
        <v>46293</v>
      </c>
      <c r="B9" s="68" t="inlineStr">
        <is>
          <t>LAUNCH</t>
        </is>
      </c>
      <c r="C9" s="68" t="inlineStr">
        <is>
          <t>PSHE / RSE</t>
        </is>
      </c>
      <c r="D9" s="68" t="inlineStr">
        <is>
          <t>I can recognise pressure and use an exit strategy that keeps my self-respect.</t>
        </is>
      </c>
      <c r="E9" s="68" t="n"/>
      <c r="F9" s="68" t="n"/>
      <c r="G9" s="68" t="n"/>
      <c r="H9" s="68" t="n"/>
      <c r="I9" s="68" t="n"/>
    </row>
    <row r="10" ht="30" customHeight="1" s="49">
      <c r="A10" s="91" t="n">
        <v>46293</v>
      </c>
      <c r="B10" s="68" t="inlineStr">
        <is>
          <t>LAUNCH</t>
        </is>
      </c>
      <c r="C10" s="68" t="inlineStr">
        <is>
          <t>Humanities</t>
        </is>
      </c>
      <c r="D10" s="68" t="inlineStr">
        <is>
          <t>I can describe one person who helped shape modern Britain and explain why they matter.</t>
        </is>
      </c>
      <c r="E10" s="68" t="n"/>
      <c r="F10" s="68" t="n"/>
      <c r="G10" s="68" t="n"/>
      <c r="H10" s="68" t="n"/>
      <c r="I10" s="68" t="n"/>
    </row>
    <row r="11" ht="30" customHeight="1" s="49">
      <c r="A11" s="91" t="n">
        <v>46293</v>
      </c>
      <c r="B11" s="68" t="inlineStr">
        <is>
          <t>LAUNCH</t>
        </is>
      </c>
      <c r="C11" s="85" t="inlineStr">
        <is>
          <t>RE</t>
        </is>
      </c>
      <c r="D11" s="68" t="inlineStr">
        <is>
          <t>I can write a structured explanation that clearly describes religious and ethical beliefs and gives reasons for different viewpoints.</t>
        </is>
      </c>
      <c r="E11" s="85" t="n"/>
      <c r="F11" s="85" t="n"/>
      <c r="G11" s="85" t="n"/>
      <c r="H11" s="85" t="n"/>
      <c r="I11" s="85" t="n"/>
    </row>
    <row r="12" ht="30" customHeight="1" s="49">
      <c r="A12" s="91" t="n">
        <v>46293</v>
      </c>
      <c r="B12" s="68" t="inlineStr">
        <is>
          <t>LAUNCH</t>
        </is>
      </c>
      <c r="C12" s="68" t="inlineStr">
        <is>
          <t>Arts (Arts Award)</t>
        </is>
      </c>
      <c r="D12" s="68" t="inlineStr">
        <is>
          <t>I can plan how I will experience an arts event and say what I hope to get from it.</t>
        </is>
      </c>
      <c r="E12" s="68" t="n"/>
      <c r="F12" s="68" t="n"/>
      <c r="G12" s="84" t="n"/>
      <c r="H12" s="84" t="n"/>
      <c r="I12" s="84" t="n"/>
    </row>
    <row r="13" ht="30" customHeight="1" s="49">
      <c r="A13" s="91" t="n">
        <v>46293</v>
      </c>
      <c r="B13" s="85" t="inlineStr">
        <is>
          <t>LAUNCH</t>
        </is>
      </c>
      <c r="C13" s="85" t="inlineStr">
        <is>
          <t>Personal Development / PfA</t>
        </is>
      </c>
      <c r="D13" s="68" t="inlineStr">
        <is>
          <t>I can identify important personal responsibilities and ways to keep my information organised.</t>
        </is>
      </c>
      <c r="E13" s="85" t="n"/>
      <c r="F13" s="85" t="n"/>
      <c r="G13" s="85" t="n"/>
      <c r="H13" s="85" t="n"/>
      <c r="I13" s="85" t="n"/>
    </row>
    <row r="14" ht="30" customHeight="1" s="49">
      <c r="A14" s="84" t="n"/>
      <c r="B14" s="84" t="n"/>
      <c r="C14" s="84" t="n"/>
      <c r="D14" s="84" t="n"/>
      <c r="E14" s="84" t="n"/>
      <c r="F14" s="84" t="n"/>
      <c r="G14" s="84" t="n"/>
      <c r="H14" s="84" t="n"/>
      <c r="I14" s="84" t="n"/>
    </row>
    <row r="15" ht="30" customHeight="1" s="49">
      <c r="A15" s="85" t="n"/>
      <c r="B15" s="85" t="n"/>
      <c r="C15" s="85" t="n"/>
      <c r="D15" s="85" t="n"/>
      <c r="E15" s="85" t="n"/>
      <c r="F15" s="85" t="n"/>
      <c r="G15" s="85" t="n"/>
      <c r="H15" s="85" t="n"/>
      <c r="I15" s="85" t="n"/>
    </row>
    <row r="16" ht="25.5" customHeight="1" s="49">
      <c r="A16" s="84" t="n"/>
      <c r="B16" s="84" t="n"/>
      <c r="C16" s="84" t="n"/>
      <c r="D16" s="84" t="n"/>
      <c r="E16" s="84" t="n"/>
      <c r="F16" s="84" t="n"/>
      <c r="G16" s="84" t="n"/>
      <c r="H16" s="84" t="n"/>
      <c r="I16" s="84" t="n"/>
    </row>
    <row r="17" ht="25.5" customHeight="1" s="49">
      <c r="A17" s="85" t="n"/>
      <c r="B17" s="85" t="n"/>
      <c r="C17" s="85" t="n"/>
      <c r="D17" s="85" t="n"/>
      <c r="E17" s="85" t="n"/>
      <c r="F17" s="85" t="n"/>
      <c r="G17" s="85" t="n"/>
      <c r="H17" s="85" t="n"/>
      <c r="I17" s="85" t="n"/>
    </row>
    <row r="18" ht="25.5" customHeight="1" s="49">
      <c r="A18" s="84" t="n"/>
      <c r="B18" s="84" t="n"/>
      <c r="C18" s="84" t="n"/>
      <c r="D18" s="84" t="n"/>
      <c r="E18" s="84" t="n"/>
      <c r="F18" s="84" t="n"/>
      <c r="G18" s="84" t="n"/>
      <c r="H18" s="84" t="n"/>
      <c r="I18" s="84" t="n"/>
    </row>
    <row r="19" ht="25.5" customHeight="1" s="49">
      <c r="A19" s="85" t="n"/>
      <c r="B19" s="85" t="n"/>
      <c r="C19" s="85" t="n"/>
      <c r="D19" s="85" t="n"/>
      <c r="E19" s="85" t="n"/>
      <c r="F19" s="85" t="n"/>
      <c r="G19" s="85" t="n"/>
      <c r="H19" s="85" t="n"/>
      <c r="I19" s="85" t="n"/>
    </row>
    <row r="20" ht="25.5" customHeight="1" s="49"/>
    <row r="21" ht="25.5" customHeight="1" s="49">
      <c r="C21" s="94" t="inlineStr">
        <is>
          <t>This sheet:</t>
        </is>
      </c>
      <c r="D21" s="95">
        <f>COUNTIF($F$8:$F$19,"Green")</f>
        <v/>
      </c>
      <c r="E21" s="96">
        <f>COUNTIF($F$8:$F$19,"Amber")</f>
        <v/>
      </c>
      <c r="F21" s="97">
        <f>COUNTIF($F$8:$F$19,"Red")</f>
        <v/>
      </c>
    </row>
    <row r="22" ht="25.5" customHeight="1" s="49">
      <c r="D22" s="98" t="inlineStr">
        <is>
          <t>Green</t>
        </is>
      </c>
      <c r="E22" s="98" t="inlineStr">
        <is>
          <t>Amber</t>
        </is>
      </c>
      <c r="F22" s="98" t="inlineStr">
        <is>
          <t>Red</t>
        </is>
      </c>
    </row>
    <row r="23" ht="25.5" customHeight="1" s="49"/>
    <row r="24" ht="25.5" customHeight="1" s="49"/>
    <row r="25" ht="25.5" customHeight="1" s="49"/>
    <row r="26" ht="25.5" customHeight="1" s="49"/>
    <row r="27" ht="25.5" customHeight="1" s="49"/>
  </sheetData>
  <mergeCells count="5">
    <mergeCell ref="A2:I2"/>
    <mergeCell ref="B3:C3"/>
    <mergeCell ref="A1:I1"/>
    <mergeCell ref="E3:F3"/>
    <mergeCell ref="H3:I3"/>
  </mergeCells>
  <conditionalFormatting sqref="F7:F27">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7" showDropDown="0" showInputMessage="0" showErrorMessage="0" allowBlank="1" errorTitle="Choose from the list" error="Pick a value from the list." type="list" errorStyle="stop" operator="between">
      <formula1>"BUILD,GROW,LAUNCH"</formula1>
      <formula2>0</formula2>
    </dataValidation>
    <dataValidation sqref="C7:C27"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7:F27" showDropDown="0" showInputMessage="0" showErrorMessage="0" allowBlank="1" errorTitle="Choose from the list" error="Pick a value from the list." type="list" errorStyle="stop" operator="between">
      <formula1>"Green,Amber,Red"</formula1>
      <formula2>0</formula2>
    </dataValidation>
    <dataValidation sqref="H7:H27"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Helen Stewart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