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<sst xmlns="http://schemas.openxmlformats.org/spreadsheetml/2006/main" count="169" uniqueCount="138">
  <si>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</si>
  <si>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</si>
  <si>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</si>
  <si>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</si>
  <si>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</si>
  <si>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</si>
  <si>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</si>
  <si>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</si>
  <si>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Launch</t>
  </si>
  <si>
    <t xml:space="preserve">Theme</t>
  </si>
  <si>
    <t xml:space="preserve">Teacher</t>
  </si>
  <si>
    <t xml:space="preserve">Week commencing</t>
  </si>
  <si>
    <t xml:space="preserve">Reviewed by</t>
  </si>
  <si>
    <t xml:space="preserve">SMSC/BV this week: Black History Month culminates (half-term Fri 23 Oct) — fold the celebration into Launch's adult-ready portfolios and RE viva week.  EVIDENCE: showcase photos + evidence platform: cultural; complete this half-term's rows in the SMSC Evidence Tracker before break.</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</si>
  <si>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</si>
  <si>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</si>
  <si>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</si>
  <si>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</si>
  <si>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</si>
  <si>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</si>
  <si>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</si>
  <si>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</si>
  <si>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</si>
  <si>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</si>
  <si>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</si>
  <si>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Feedback, catch-up and GCSE next steps. Students review Autumn 1 work, respond to feedback, complete missing English evidence and set one GCSE/English target for Autumn 2.</t>
  </si>
  <si>
    <t xml:space="preserve">I can use feedback to improve one piece of English work and set a clear target for my next step.</t>
  </si>
  <si>
    <t xml:space="preserve">Arrival task: confidence check on Autumn 1 skills → review books/folders and identify missing or incomplete work → teacher feedback on one reading or writing task → improve one answer using feedback → complete one catch-up task where needed → set one target linked to reading, writing, SPaG, structure or independence → short 1:1 review conversation.</t>
  </si>
  <si>
    <t xml:space="preserve">feedback, target, improve, evidence, analysis, structure, accuracy, confidence, independence, next step</t>
  </si>
  <si>
    <t xml:space="preserve">Student books/folders; previous assessment or practice tasks; feedback slips; GCSE skills checklist; target-setting sheet; highlighters; model answer; sentence starters; laptops/overlays/reading pens where needed.</t>
  </si>
  <si>
    <t xml:space="preserve">F</t>
  </si>
  <si>
    <t xml:space="preserve">Choice of improvement task; reduced writing where needed; model answer available; sentence starters; scribe/reader where agreed; no cold calling; quiet 1:1 review; movement/regulation breaks.</t>
  </si>
  <si>
    <t xml:space="preserve">TA supports students to locate work, understand feedback, complete catch-up tasks and record a realistic target. Teacher identifies students needing intervention, extra GCSE practice or confidence-building next half-term.</t>
  </si>
  <si>
    <t xml:space="preserve">To complete after teaching: note who caught up, who improved work, who still has missing evidence, and which GCSE/English targets need carrying forward.</t>
  </si>
  <si>
    <t xml:space="preserve">Maths</t>
  </si>
  <si>
    <t xml:space="preserve">Ratio &amp; proportion in real life (GCSE Foundation bridge)</t>
  </si>
  <si>
    <t xml:space="preserve">I can use ratio and proportion to solve real problems (recipes, mixing, scale).</t>
  </si>
  <si>
    <t xml:space="preserve">Launch the ratio block hands-on.  Mocktail lab: scale a 2-person recipe up for 6, measure and mix it — tasting is the live feedback → paint-mixing ratios: hit a target colour swatch and SEE why 3:1 and 2:1 differ → scale drawing of the classroom on squared paper — links the Humanities OS-map work this week.  Write each ratio three ways: 3:1, as a fraction, and 'for every…'.  GCSE STRETCH: the unitary method — the single most useful Foundation technique — applied to a best-buy check.  EVIDENCE: photos of mixes, swatches and drawings + short measurement logs.</t>
  </si>
  <si>
    <t xml:space="preserve">ratio, proportion, scale, simplify, for every, unitary method, convert</t>
  </si>
  <si>
    <t xml:space="preserve">Measuring jugs/cylinders; mocktail ingredients + cups; ready-mix paints + target swatch cards; tape measures; squared paper; calculators; mini-whiteboards; camera.</t>
  </si>
  <si>
    <t xml:space="preserve">Estimate-first at every station; movement built in via the rotation; calculators available so reasoning, not arithmetic, is assessed.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</si>
  <si>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runs the stations with live feedback at each; TA photographs each pupil's accurate mix/scale for the portfolio; logs stay numbers-first, not sentences.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</si>
  <si>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</si>
  <si>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</si>
  <si>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Edexcel GCSE Biology 1BI0 (F), Topic 1: pH &amp; enzyme activity — CORE PRACTICAL + Topic 1 consolidation · Paper 1 · SoW Aut1·W8  [NEW]</t>
  </si>
  <si>
    <t xml:space="preserve">I can investigate how pH affects amylase, calculate the rate, and show what I know across Topic 1.</t>
  </si>
  <si>
    <t xml:space="preserve">SLOT 1 — plan [WRE Step 7]: I DO: model the method (amylase + buffer + starch at 30 °C; iodine on a spotting tile every 30 s until brown = starch gone). WE DO: agree IV = pH · DV = time for starch to disappear · CV = temperature, volumes. YOU DO: write the method and predict the optimum.  SLOT 2 — investigate [WRE Step 8]: run pH 5–9. Iodine goes into the tile depressions BEFORE starting. ~90 s at pH 7. Control: starch + water, no amylase — starch stays.  SLOT 3 — evaluate + CONSOLIDATE [WRE Step 9]: rate = 1/time (×1000 to plot); bell curve, peak = optimum ≈ pH 7; link the shape back to the active site. Accuracy vs precision. Then the tiered Topic 1 consolidation check.  EXIT: 'The rate was fastest at pH … because …'  EXAM STRETCH: what would happen to this amylase in the stomach? (denatured, pH ~2) — the synoptic question Pearson likes.  FADE &amp; COMMAND WORD: no scaffold for the method. Command words: CALCULATE (1/time) · EVALUATE (strength, weakness, improvement).</t>
  </si>
  <si>
    <t xml:space="preserve">amylase, starch, iodine, buffer, pH, optimum, rate, 1/time, continuous sampling, independent variable, dependent variable, control, accurate, precise, anomalous</t>
  </si>
  <si>
    <t xml:space="preserve">NO BUNSEN NEEDED — 30 °C is warm tap water + thermometer. Amylase solution, starch solution, buffers pH 5/6/7/8/9 (ORDER NOW), iodine, spotting tiles, syringes ×3, stirring rods, stopwatches, test tubes; rate calc table; blank grid paper; TIERED TOPIC 1 CONSOLIDATION: WRE EOB (20 marks) covers the enzyme half only — pair with cells/microscopy/transport recall questions for a true Topic 1 check.</t>
  </si>
  <si>
    <t xml:space="preserve">S</t>
  </si>
  <si>
    <t xml:space="preserve">The 30-second sampling rhythm is the access point — it gives structure and a job to every pupil. Rate calc tiered (table given with 1/time done → do 1/time → ×1000 and plot). Pupil A reads to self with discreet checks; Pupil B plots and evaluates unaided; Pupil C: never on the spot; give him the stopwatch/timing role — high status, low exposure; clear success criteria; challenge on, pressure off when confidence dips.</t>
  </si>
  <si>
    <t xml:space="preserve">TA calls the 30-second intervals so no pupil is blamed for a missed sample — this is the commonest flashpoint in this practical. Teacher keeps 'shorter time = faster rate' on display (the counter-intuitive step). Judging the end colour is subjective — name that as random error, not pupil failure.  LOOP [Feedback Policy]: Voice = plan / rate calc / graph / evaluation / consolidation check [//, NS, I] → Audience: mark against the mark scheme, name the improvement before [R]; deferred response 10–15 min next lesson → EVIDENCE: coded, redrafted write-up + rate graph + consolidation script [E: science — banks a MANDATORY CP for 1BI0].</t>
  </si>
  <si>
    <t xml:space="preserve">TIGHTEST WEEK OF THE TERM — three slots carrying a CP and a consolidation. If it slips, push the consolidation into Aut 2 W1 as a Topic 1 bridge (spaced retrieval — arguably better anyway).  Note who says 'shorter time = faster rate' unprompted.  → Influence: RAG per Topic 1 strand (cells · microscopy · transport · enzymes) sets the Aut 2 starting point, the December summative and the EHCP/PfA target at review [NS]; poor performance triggers an intervention lesson, never a detention.</t>
  </si>
  <si>
    <t xml:space="preserve">PSHE / RSE</t>
  </si>
  <si>
    <t xml:space="preserve">Identity, relationships &amp; rights in adult life · PSHE Association SEND framework · AQA UAS 'Healthy relationships' · SoW Aut1·W8</t>
  </si>
  <si>
    <t xml:space="preserve">I can present my adult-ready portfolio and show what I have learned about relationships and rights.</t>
  </si>
  <si>
    <t xml:space="preserve">Portfolio week: compile the half-term artefacts — boundaries card, settings checklist, exit plan, support directory, interview clip — into a personal 'adult-ready' portfolio → each pupil presents it 1:1 to a trusted adult, choosing their strongest piece to talk through → staff bank AQA UAS 'Healthy relationships' evidence with the pupil.  STRETCH: one written reflection — 'the skill I'll actually use after school is… because…'.</t>
  </si>
  <si>
    <t xml:space="preserve">portfolio, evidence, reflect, confident, rights, ready</t>
  </si>
  <si>
    <t xml:space="preserve">All half-term artefacts; portfolio folders; recorder/camera; AQA UAS summary sheets; trusted adults invited.</t>
  </si>
  <si>
    <t xml:space="preserve">S (AQA UAS 'Healthy relationships' banked)</t>
  </si>
  <si>
    <t xml:space="preserve">Presenting is 1:1 to a chosen adult; the written reflection is scaffolded with starters and can be scribed or voice-noted.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</si>
  <si>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curates portfolios alongside pupils; teacher hosts warm, low-pressure presentations; this is a celebration of readiness, not a test.
LOOP [Feedback Policy]: Voice = recorded micro-interview / script-flip / portfolio piece [VF] → Audience: listen fully, name one strength + one [NS] before tagging; then [R] → EVIDENCE: recording/portfolio to evidence platform, same day [E: PfA/careers/transition — weekly PfA minimum].</t>
  </si>
  <si>
    <t xml:space="preserve">Influence: feeds each pupil's real destination (college/barbering) → PfA plan and IEDP Outcome 5 [NS].</t>
  </si>
  <si>
    <t xml:space="preserve">RE</t>
  </si>
  <si>
    <t xml:space="preserve">I can improve my written explanation after feedback and defend my viewpoint out loud.</t>
  </si>
  <si>
    <t xml:space="preserve">The GCSE improvement cycle, made visible: green-pen upgrade of the W7 written answer against the agreed target card — before/after photographed side by side → the viva: a two-minute recorded defence of a viewpoint, with ONE respectful challenge question from the teacher to answer on the spot (shared in advance as a style, not a script) → bank AQA UAS evidence with the pupil.  STRETCH: self-assess the upgrade — 'my answer improved because…'.</t>
  </si>
  <si>
    <t xml:space="preserve">feedback, improve, redraft, viewpoint, justify, evidence</t>
  </si>
  <si>
    <t xml:space="preserve">W7 answers + target cards; green pens; camera for before/after; recorder for vivas; AQA UAS summary sheets.</t>
  </si>
  <si>
    <t xml:space="preserve">S (improvement cycle + unit evidence banked — AQA UAS)</t>
  </si>
  <si>
    <t xml:space="preserve">The challenge question style is known in advance — no ambushes; viva 1:1 with re-record allowed; before/after photos make progress visible without grades.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</si>
  <si>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the green-pen edit against the target card; teacher keeps the viva warm and genuinely curious; the recording completes the evidence.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</si>
  <si>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</si>
  <si>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</si>
  <si>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NC KS3/4 Geography — map skills: OS symbols &amp; four-figure grid references (using a local Teesside map).</t>
  </si>
  <si>
    <t xml:space="preserve">I can use OS symbols and give a four-figure grid reference.</t>
  </si>
  <si>
    <t xml:space="preserve">Arrival task: 'find the symbol' — match 3 OS symbols to their meanings → model reading a four-figure grid reference ('along the corridor, then up the stairs') → we do: find 2 grid references together on a local map → you do: locate 4 features and give their grid references → exit: give one grid reference to the TA.</t>
  </si>
  <si>
    <t xml:space="preserve">map, symbol, key, grid reference, four-figure, eastings, northings, scale, location, feature</t>
  </si>
  <si>
    <t xml:space="preserve">OS map extract (local Teesside area for relevance); symbol-matching cards; 'corridor then stairs' grid-reference mat; magenta copies; number line for reading the axes.</t>
  </si>
  <si>
    <t xml:space="preserve">'Corridor then stairs' mnemonic supports dyscalculia sequencing; symbol matching is visual/low-text; the local map boosts relevance. Pupil A works to self with discreet checks; Pupil B independent with the mat. Chunk into symbols → then grid references; movement in the matching.
Pupil C: never on the spot or publicly corrected; calm, quiet encouragement; clear success criteria and model examples; challenge on, pressure off when confidence dips.</t>
  </si>
  <si>
    <t xml:space="preserve">TA prompts 'along first, then up'; teacher keeps the mnemonic visible and uses a familiar local area so the skill — not the place — is the challenge.
LOOP [Feedback Policy]: Voice = source-based edit / structured account [//, NS] → Audience: read against the criteria and name the change; deferred for the account; then [R] → EVIDENCE: coded book + enrichment photos [E: humanities].</t>
  </si>
  <si>
    <t xml:space="preserve">Note who reads eastings-before-northings correctly vs who reverses them.  → Influence: assessment technique shapes the next enquiry's scaffold [NS].</t>
  </si>
  <si>
    <t xml:space="preserve">Arts (Arts Award)</t>
  </si>
  <si>
    <t xml:space="preserve">Trinity Arts Award, Unit 1 Part D — complete the arts review (portfolio evidence).</t>
  </si>
  <si>
    <t xml:space="preserve">I can complete my arts review, giving a clear opinion supported by a reason.</t>
  </si>
  <si>
    <t xml:space="preserve">Arrival task: reread your Week 7 opening → model adding a 'because…' reason and a recommendation → we do: extend one sentence together into opinion + reason → you do: complete your review (written or recorded) using the frame → exit: highlight the one sentence you're most proud of.</t>
  </si>
  <si>
    <t xml:space="preserve">review, opinion, reason, evidence, recommend, evaluate, impression, because, arts log</t>
  </si>
  <si>
    <t xml:space="preserve">Week 7 draft; review frame; recommendation stems; magenta copies; audio-record option; device; portfolio folder.</t>
  </si>
  <si>
    <t xml:space="preserve">S (completed Unit 1 evidence)</t>
  </si>
  <si>
    <t xml:space="preserve">Continues from a familiar draft (no cold start); audio-record option for dyslexia. Pupil B completes independently with frame + checklist; opinion + one reason is the target, not length; no reading aloud.
Pupil C: never on the spot or publicly corrected; calm, quiet encouragement; clear success criteria and model examples; challenge on, pressure off when confidence dips.</t>
  </si>
  <si>
    <t xml:space="preserve">TA scribes/records on request; teacher models opinion + reason + recommendation. Completed review banks Arts Award Silver/Gold Unit 1 Part D evidence — file in the portfolio.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</si>
  <si>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Note who supports an opinion with a reason vs a bare opinion; confirm each pupil has a completed, dated, portfolio-filed review.  → Influence: the portfolio builds toward Silver → accreditation next step at moderation [NS].</t>
  </si>
  <si>
    <t xml:space="preserve">PE</t>
  </si>
  <si>
    <t xml:space="preserve">Careers / Vocational (ASDAN)</t>
  </si>
  <si>
    <t xml:space="preserve">Money, budgeting &amp; managing a home</t>
  </si>
  <si>
    <t xml:space="preserve">I can create a simple monthly budget by identifying income, expenses and spending priorities.</t>
  </si>
  <si>
    <t xml:space="preserve">Discuss what a budget is and why people use one.
Sort cards into Income and Expenses categories.
Identify which expenses are essential and non-essential.
Complete a simple monthly budget using a given scenario.
Discuss ways to stay within a budget and save money.</t>
  </si>
  <si>
    <t xml:space="preserve">Budget
Income
Expenses
Bills
Savings
Spending
Essential
Non-essential
Priority
Money management</t>
  </si>
  <si>
    <t xml:space="preserve">Income and expenses sorting cards
Monthly budget worksheet
Scenario cards
Calculators
Highlighters
Whiteboard and pens
Visual budget template</t>
  </si>
  <si>
    <t xml:space="preserve">Use picture-supported income and expense cards.
Provide colour-coded categories for income, essential expenses and non-essential expenses.
Reduce the number of calculations required.
Allow the use of calculators.
Provide sentence starters and model examples.
Offer adult support for reading and recording answers.
Extension: Students create their own monthly budget and identify areas where savings could be made.</t>
  </si>
  <si>
    <t xml:space="preserve">Model the budgeting process step-by-step.
Display key vocabulary with symbols or visuals.
Use real-life examples of income and household expenses.
Check understanding through targeted questioning.
Provide worked examples before independent tasks.
Encourage discussion about needs versus wants.
Support learners with calculations where needed.
Give regular praise and feedback to build confidence.</t>
  </si>
  <si>
    <t xml:space="preserve">Enrichment &amp; wider opportunities this week   (trips, visitors, themed days, SMSC calendar link, PfA / community)</t>
  </si>
  <si>
    <t xml:space="preserve">Resources &amp; support to prepare before the week   (printing, kit, bookings, briefing the team)</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</si>
  <si>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</si>
  <si>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</si>
  <si>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</si>
  <si>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</si>
  <si>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</si>
  <si>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</si>
  <si>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</si>
  <si>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</si>
  <si>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</si>
  <si>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</si>
  <si>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</si>
  <si>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</si>
  <si>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</si>
  <si>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</si>
  <si>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</si>
  <si>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</si>
  <si>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</si>
  <si>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</si>
  <si>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</si>
  <si>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</si>
  <si>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</si>
  <si>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</si>
  <si>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</si>
  <si>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</si>
  <si>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</si>
  <si>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</si>
  <si>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</si>
  <si>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</si>
  <si>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</si>
  <si>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 has reviewed Autumn 1 work, improved or completed at least one task, and agreed one realistic GCSE/English target for the next half-term.</t>
  </si>
  <si>
    <t xml:space="preserve">I can answer Topic 1 exam-style questions on cells, magnification and transport.</t>
  </si>
  <si>
    <t xml:space="preserve">Personal Development / PfA</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</si>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</sst>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0"/>
      <charset val="1"/>
    </font>
    <font>
      <sz val="9"/>
      <color theme="1"/>
      <name val="Arial"/>
      <family val="0"/>
      <charset val="1"/>
    </font>
    <font>
      <sz val="9"/>
      <color rgb="FF1B2420"/>
      <name val="Arial"/>
      <family val="0"/>
      <charset val="1"/>
    </font>
    <font>
      <b val="true"/>
      <sz val="9"/>
      <color rgb="FF1B2420"/>
      <name val="Arial"/>
      <family val="2"/>
      <charset val="1"/>
    </font>
    <font>
      <sz val="9"/>
      <color rgb="FF1B2420"/>
      <name val="Arial"/>
      <family val="2"/>
      <charset val="1"/>
    </font>
    <font>
      <sz val="9"/>
      <color theme="1"/>
      <name val="Arial"/>
      <family val="2"/>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0"/>
      <charset val="1"/>
    </font>
    <font>
      <sz val="10"/>
      <name val="Arial"/>
      <family val="2"/>
      <charset val="1"/>
    </font>
    <font>
      <sz val="9"/>
      <name val="Arial"/>
      <family val="2"/>
      <charset val="1"/>
    </font>
    <font>
      <b val="true"/>
      <sz val="9"/>
      <color theme="1"/>
      <name val="Arial"/>
      <family val="2"/>
      <charset val="1"/>
    </font>
    <font>
      <b val="true"/>
      <sz val="10"/>
      <color rgb="FFFFFFFF"/>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6">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color rgb="FFC3CDC1"/>
      </left>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6" fillId="6" borderId="3" xfId="0" applyFont="true" applyBorder="true" applyAlignment="true" applyProtection="false">
      <alignment horizontal="left" vertical="center"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5" fillId="5" borderId="3"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general" vertical="top" textRotation="0" wrapText="true" indent="0" shrinkToFit="false"/>
      <protection locked="true" hidden="false"/>
    </xf>
    <xf numFmtId="164" fontId="17" fillId="6" borderId="3"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6" fontId="15" fillId="5" borderId="3"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6" fontId="15" fillId="5" borderId="4" xfId="0" applyFont="true" applyBorder="true" applyAlignment="true" applyProtection="false">
      <alignment horizontal="left" vertical="center" textRotation="0" wrapText="true" indent="0" shrinkToFit="false"/>
      <protection locked="true" hidden="false"/>
    </xf>
    <xf numFmtId="164" fontId="12" fillId="0" borderId="5" xfId="0" applyFont="true" applyBorder="true" applyAlignment="true" applyProtection="false">
      <alignment horizontal="general" vertical="center" textRotation="0" wrapText="true" indent="0" shrinkToFit="false"/>
      <protection locked="true" hidden="false"/>
    </xf>
    <xf numFmtId="164" fontId="15" fillId="5" borderId="5" xfId="0" applyFont="true" applyBorder="true" applyAlignment="true" applyProtection="false">
      <alignment horizontal="left"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4" fillId="5" borderId="3" xfId="0" applyFont="true" applyBorder="true" applyAlignment="true" applyProtection="false">
      <alignment horizontal="left" vertical="center" textRotation="0" wrapText="tru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23" fillId="0" borderId="3" xfId="0" applyFont="true" applyBorder="true" applyAlignment="true" applyProtection="false">
      <alignment horizontal="center"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4" fillId="7" borderId="0" xfId="0" applyFont="true" applyBorder="false" applyAlignment="true" applyProtection="false">
      <alignment horizontal="center" vertical="center" textRotation="0" wrapText="false" indent="0" shrinkToFit="false"/>
      <protection locked="true" hidden="false"/>
    </xf>
    <xf numFmtId="167" fontId="24" fillId="8" borderId="0" xfId="0" applyFont="true" applyBorder="false" applyAlignment="true" applyProtection="false">
      <alignment horizontal="center" vertical="center" textRotation="0" wrapText="false" indent="0" shrinkToFit="false"/>
      <protection locked="true" hidden="false"/>
    </xf>
    <xf numFmtId="167" fontId="24" fillId="9"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7" activePane="bottomLeft" state="frozen"/>
      <selection pane="topLeft" activeCell="A1" activeCellId="0" sqref="A1"/>
      <selection pane="bottomLeft" activeCell="C18" activeCellId="0" sqref="C18"/>
    </sheetView>
  </sheetViews>
  <sheetFormatPr defaultColWidth="8.56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8</v>
      </c>
      <c r="F4" s="4" t="s">
        <v>4</v>
      </c>
      <c r="G4" s="5" t="n">
        <v>8</v>
      </c>
    </row>
    <row r="5" customFormat="false" ht="19.5" hidden="false" customHeight="true" outlineLevel="0" collapsed="false">
      <c r="A5" s="4" t="s">
        <v>5</v>
      </c>
      <c r="B5" s="5" t="s">
        <v>6</v>
      </c>
      <c r="F5" s="4" t="s">
        <v>7</v>
      </c>
      <c r="G5" s="5" t="s">
        <v>8</v>
      </c>
    </row>
    <row r="6" customFormat="false" ht="19.5" hidden="false" customHeight="true" outlineLevel="0" collapsed="false">
      <c r="A6" s="4" t="s">
        <v>9</v>
      </c>
      <c r="B6" s="6" t="str">
        <f aca="false">IF(B5="Autumn","Identity &amp; Belonging",IF(B5="Spring","Resilience &amp; Change",IF(B5="Summer","Our World, My Future","pick a term")))</f>
        <v>Identity &amp; Belonging</v>
      </c>
      <c r="C6" s="6"/>
      <c r="D6" s="6"/>
      <c r="F6" s="4" t="s">
        <v>10</v>
      </c>
      <c r="G6" s="5"/>
    </row>
    <row r="7" customFormat="false" ht="19.5" hidden="false" customHeight="true" outlineLevel="0" collapsed="false">
      <c r="A7" s="4" t="s">
        <v>11</v>
      </c>
      <c r="B7" s="7" t="n">
        <v>46314</v>
      </c>
      <c r="F7" s="4" t="s">
        <v>12</v>
      </c>
      <c r="G7" s="5"/>
    </row>
    <row r="8" customFormat="false" ht="45.75" hidden="false" customHeight="true" outlineLevel="0" collapsed="false">
      <c r="A8" s="8" t="s">
        <v>13</v>
      </c>
      <c r="B8" s="8"/>
      <c r="C8" s="8"/>
      <c r="D8" s="8"/>
      <c r="E8" s="8"/>
      <c r="F8" s="8"/>
      <c r="G8" s="8"/>
      <c r="H8" s="8"/>
      <c r="I8" s="8"/>
      <c r="J8" s="8"/>
    </row>
    <row r="9" customFormat="false" ht="30" hidden="false" customHeight="true" outlineLevel="0" collapsed="false">
      <c r="A9" s="9" t="s">
        <v>14</v>
      </c>
      <c r="B9" s="9" t="s">
        <v>15</v>
      </c>
      <c r="C9" s="9" t="s">
        <v>16</v>
      </c>
      <c r="D9" s="9" t="s">
        <v>17</v>
      </c>
      <c r="E9" s="9" t="s">
        <v>18</v>
      </c>
      <c r="F9" s="9" t="s">
        <v>19</v>
      </c>
      <c r="G9" s="9" t="s">
        <v>20</v>
      </c>
      <c r="H9" s="9" t="s">
        <v>21</v>
      </c>
      <c r="I9" s="9" t="s">
        <v>22</v>
      </c>
      <c r="J9" s="9" t="s">
        <v>23</v>
      </c>
    </row>
    <row r="10" customFormat="false" ht="177" hidden="false" customHeight="true" outlineLevel="0" collapsed="false">
      <c r="A10" s="10" t="s">
        <v>24</v>
      </c>
      <c r="B10" s="11" t="s">
        <v>25</v>
      </c>
      <c r="C10" s="11" t="s">
        <v>26</v>
      </c>
      <c r="D10" s="11" t="s">
        <v>27</v>
      </c>
      <c r="E10" s="11" t="s">
        <v>28</v>
      </c>
      <c r="F10" s="12" t="s">
        <v>29</v>
      </c>
      <c r="G10" s="13" t="s">
        <v>30</v>
      </c>
      <c r="H10" s="11" t="s">
        <v>31</v>
      </c>
      <c r="I10" s="11" t="s">
        <v>32</v>
      </c>
      <c r="J10" s="11" t="s">
        <v>33</v>
      </c>
    </row>
    <row r="11" customFormat="false" ht="330" hidden="false" customHeight="true" outlineLevel="0" collapsed="false">
      <c r="A11" s="14" t="s">
        <v>34</v>
      </c>
      <c r="B11" s="15" t="s">
        <v>35</v>
      </c>
      <c r="C11" s="16" t="s">
        <v>36</v>
      </c>
      <c r="D11" s="15" t="s">
        <v>37</v>
      </c>
      <c r="E11" s="15" t="s">
        <v>38</v>
      </c>
      <c r="F11" s="15" t="s">
        <v>39</v>
      </c>
      <c r="G11" s="15" t="s">
        <v>30</v>
      </c>
      <c r="H11" s="15" t="s">
        <v>40</v>
      </c>
      <c r="I11" s="15" t="s">
        <v>41</v>
      </c>
      <c r="J11" s="15" t="s">
        <v>42</v>
      </c>
    </row>
    <row r="12" customFormat="false" ht="360" hidden="false" customHeight="true" outlineLevel="0" collapsed="false">
      <c r="A12" s="17" t="s">
        <v>43</v>
      </c>
      <c r="B12" s="18" t="s">
        <v>44</v>
      </c>
      <c r="C12" s="18" t="s">
        <v>45</v>
      </c>
      <c r="D12" s="18" t="s">
        <v>46</v>
      </c>
      <c r="E12" s="18" t="s">
        <v>47</v>
      </c>
      <c r="F12" s="18" t="s">
        <v>48</v>
      </c>
      <c r="G12" s="18" t="s">
        <v>49</v>
      </c>
      <c r="H12" s="18" t="s">
        <v>50</v>
      </c>
      <c r="I12" s="18" t="s">
        <v>51</v>
      </c>
      <c r="J12" s="18" t="s">
        <v>52</v>
      </c>
    </row>
    <row r="13" customFormat="false" ht="330" hidden="false" customHeight="true" outlineLevel="0" collapsed="false">
      <c r="A13" s="14" t="s">
        <v>53</v>
      </c>
      <c r="B13" s="15" t="s">
        <v>54</v>
      </c>
      <c r="C13" s="15" t="s">
        <v>55</v>
      </c>
      <c r="D13" s="15" t="s">
        <v>56</v>
      </c>
      <c r="E13" s="15" t="s">
        <v>57</v>
      </c>
      <c r="F13" s="15" t="s">
        <v>58</v>
      </c>
      <c r="G13" s="15" t="s">
        <v>59</v>
      </c>
      <c r="H13" s="15" t="s">
        <v>60</v>
      </c>
      <c r="I13" s="15" t="s">
        <v>61</v>
      </c>
      <c r="J13" s="15" t="s">
        <v>62</v>
      </c>
    </row>
    <row r="14" customFormat="false" ht="330" hidden="false" customHeight="true" outlineLevel="0" collapsed="false">
      <c r="A14" s="17" t="s">
        <v>63</v>
      </c>
      <c r="B14" s="18"/>
      <c r="C14" s="18" t="s">
        <v>64</v>
      </c>
      <c r="D14" s="18" t="s">
        <v>65</v>
      </c>
      <c r="E14" s="18" t="s">
        <v>66</v>
      </c>
      <c r="F14" s="18" t="s">
        <v>67</v>
      </c>
      <c r="G14" s="18" t="s">
        <v>68</v>
      </c>
      <c r="H14" s="18" t="s">
        <v>69</v>
      </c>
      <c r="I14" s="18" t="s">
        <v>70</v>
      </c>
      <c r="J14" s="18" t="s">
        <v>71</v>
      </c>
    </row>
    <row r="15" customFormat="false" ht="330" hidden="false" customHeight="true" outlineLevel="0" collapsed="false">
      <c r="A15" s="14" t="s">
        <v>72</v>
      </c>
      <c r="B15" s="18" t="s">
        <v>73</v>
      </c>
      <c r="C15" s="18" t="s">
        <v>74</v>
      </c>
      <c r="D15" s="18" t="s">
        <v>75</v>
      </c>
      <c r="E15" s="18" t="s">
        <v>76</v>
      </c>
      <c r="F15" s="18" t="s">
        <v>77</v>
      </c>
      <c r="G15" s="18" t="s">
        <v>30</v>
      </c>
      <c r="H15" s="18" t="s">
        <v>78</v>
      </c>
      <c r="I15" s="18" t="s">
        <v>79</v>
      </c>
      <c r="J15" s="18" t="s">
        <v>80</v>
      </c>
    </row>
    <row r="16" customFormat="false" ht="330" hidden="false" customHeight="true" outlineLevel="0" collapsed="false">
      <c r="A16" s="19" t="s">
        <v>81</v>
      </c>
      <c r="B16" s="18" t="s">
        <v>82</v>
      </c>
      <c r="C16" s="18" t="s">
        <v>83</v>
      </c>
      <c r="D16" s="18" t="s">
        <v>84</v>
      </c>
      <c r="E16" s="18" t="s">
        <v>85</v>
      </c>
      <c r="F16" s="18" t="s">
        <v>86</v>
      </c>
      <c r="G16" s="18" t="s">
        <v>87</v>
      </c>
      <c r="H16" s="18" t="s">
        <v>88</v>
      </c>
      <c r="I16" s="18" t="s">
        <v>89</v>
      </c>
      <c r="J16" s="18" t="s">
        <v>90</v>
      </c>
    </row>
    <row r="17" customFormat="false" ht="45.75" hidden="false" customHeight="true" outlineLevel="0" collapsed="false">
      <c r="A17" s="14" t="s">
        <v>91</v>
      </c>
      <c r="B17" s="15"/>
      <c r="C17" s="15"/>
      <c r="D17" s="15"/>
      <c r="E17" s="15"/>
      <c r="F17" s="15"/>
      <c r="G17" s="15"/>
      <c r="H17" s="15"/>
      <c r="I17" s="15"/>
      <c r="J17" s="15"/>
    </row>
    <row r="18" customFormat="false" ht="45.75" hidden="false" customHeight="true" outlineLevel="0" collapsed="false">
      <c r="A18" s="17" t="s">
        <v>92</v>
      </c>
      <c r="B18" s="18" t="s">
        <v>93</v>
      </c>
      <c r="C18" s="18" t="s">
        <v>94</v>
      </c>
      <c r="D18" s="18" t="s">
        <v>95</v>
      </c>
      <c r="E18" s="18" t="s">
        <v>96</v>
      </c>
      <c r="F18" s="18" t="s">
        <v>97</v>
      </c>
      <c r="G18" s="18"/>
      <c r="H18" s="18" t="s">
        <v>98</v>
      </c>
      <c r="I18" s="18" t="s">
        <v>99</v>
      </c>
      <c r="J18" s="18"/>
    </row>
    <row r="20" customFormat="false" ht="18" hidden="false" customHeight="true" outlineLevel="0" collapsed="false">
      <c r="A20" s="20" t="s">
        <v>100</v>
      </c>
      <c r="B20" s="20"/>
      <c r="C20" s="20"/>
      <c r="D20" s="20"/>
      <c r="E20" s="20"/>
      <c r="F20" s="20"/>
      <c r="G20" s="20"/>
      <c r="H20" s="20"/>
      <c r="I20" s="20"/>
      <c r="J20" s="20"/>
    </row>
    <row r="21" customFormat="false" ht="117.75" hidden="false" customHeight="true" outlineLevel="0" collapsed="false">
      <c r="A21" s="21"/>
      <c r="B21" s="21"/>
      <c r="C21" s="21"/>
      <c r="D21" s="21"/>
      <c r="E21" s="21"/>
      <c r="F21" s="21"/>
      <c r="G21" s="21"/>
      <c r="H21" s="21"/>
      <c r="I21" s="21"/>
      <c r="J21" s="21"/>
    </row>
    <row r="22" customFormat="false" ht="18" hidden="false" customHeight="true" outlineLevel="0" collapsed="false">
      <c r="A22" s="20" t="s">
        <v>101</v>
      </c>
      <c r="B22" s="20"/>
      <c r="C22" s="20"/>
      <c r="D22" s="20"/>
      <c r="E22" s="20"/>
      <c r="F22" s="20"/>
      <c r="G22" s="20"/>
      <c r="H22" s="20"/>
      <c r="I22" s="20"/>
      <c r="J22" s="20"/>
    </row>
    <row r="23" customFormat="false" ht="147.75" hidden="false" customHeight="true" outlineLevel="0" collapsed="false">
      <c r="A23" s="22"/>
      <c r="B23" s="22"/>
      <c r="C23" s="22"/>
      <c r="D23" s="22"/>
      <c r="E23" s="22"/>
      <c r="F23" s="22"/>
      <c r="G23" s="22"/>
      <c r="H23" s="22"/>
      <c r="I23" s="22"/>
      <c r="J23" s="22"/>
    </row>
    <row r="24" customFormat="false" ht="14.25" hidden="false" customHeight="true" outlineLevel="0" collapsed="false">
      <c r="A24" s="23" t="s">
        <v>102</v>
      </c>
      <c r="B24" s="23"/>
      <c r="C24" s="23"/>
      <c r="D24" s="23"/>
      <c r="E24" s="23"/>
      <c r="F24" s="23"/>
      <c r="G24" s="23"/>
      <c r="H24" s="23"/>
      <c r="I24" s="23"/>
      <c r="J24" s="23"/>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6" activeCellId="0" sqref="C6"/>
    </sheetView>
  </sheetViews>
  <sheetFormatPr defaultColWidth="8.5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4" t="s">
        <v>103</v>
      </c>
      <c r="B1" s="24"/>
      <c r="C1" s="24"/>
      <c r="D1" s="24"/>
      <c r="E1" s="24"/>
      <c r="F1" s="24"/>
      <c r="G1" s="24"/>
      <c r="H1" s="24"/>
      <c r="I1" s="24"/>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104</v>
      </c>
      <c r="B4" s="9" t="s">
        <v>2</v>
      </c>
      <c r="C4" s="9" t="s">
        <v>105</v>
      </c>
      <c r="D4" s="9" t="s">
        <v>106</v>
      </c>
      <c r="E4" s="9" t="s">
        <v>107</v>
      </c>
      <c r="F4" s="9" t="s">
        <v>108</v>
      </c>
      <c r="G4" s="9" t="s">
        <v>109</v>
      </c>
      <c r="H4" s="9" t="s">
        <v>110</v>
      </c>
      <c r="I4" s="9" t="s">
        <v>111</v>
      </c>
    </row>
    <row r="5" customFormat="false" ht="136.5" hidden="false" customHeight="true" outlineLevel="0" collapsed="false">
      <c r="A5" s="17" t="s">
        <v>112</v>
      </c>
      <c r="B5" s="18" t="s">
        <v>3</v>
      </c>
      <c r="C5" s="18" t="s">
        <v>113</v>
      </c>
      <c r="D5" s="25"/>
      <c r="E5" s="18"/>
      <c r="F5" s="26"/>
      <c r="G5" s="18"/>
      <c r="H5" s="18"/>
      <c r="I5" s="18"/>
    </row>
    <row r="6" customFormat="false" ht="42" hidden="false" customHeight="true" outlineLevel="0" collapsed="false">
      <c r="A6" s="17" t="s">
        <v>114</v>
      </c>
      <c r="B6" s="18" t="s">
        <v>3</v>
      </c>
      <c r="C6" s="18" t="s">
        <v>113</v>
      </c>
      <c r="D6" s="25"/>
      <c r="E6" s="26"/>
      <c r="F6" s="18"/>
      <c r="G6" s="18"/>
      <c r="H6" s="18"/>
      <c r="I6" s="18"/>
    </row>
    <row r="7" customFormat="false" ht="42" hidden="false" customHeight="true" outlineLevel="0" collapsed="false">
      <c r="A7" s="17" t="s">
        <v>115</v>
      </c>
      <c r="B7" s="18" t="s">
        <v>3</v>
      </c>
      <c r="C7" s="18" t="s">
        <v>113</v>
      </c>
      <c r="D7" s="27"/>
      <c r="E7" s="28"/>
      <c r="F7" s="28"/>
      <c r="G7" s="29"/>
      <c r="H7" s="29"/>
      <c r="I7" s="28"/>
    </row>
    <row r="8" customFormat="false" ht="30" hidden="false" customHeight="true" outlineLevel="0" collapsed="false">
      <c r="A8" s="30"/>
      <c r="B8" s="30"/>
      <c r="C8" s="30"/>
      <c r="D8" s="30"/>
      <c r="E8" s="30"/>
      <c r="F8" s="30"/>
      <c r="G8" s="30"/>
      <c r="H8" s="30"/>
      <c r="I8" s="30"/>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30"/>
      <c r="B10" s="30"/>
      <c r="C10" s="30"/>
      <c r="D10" s="30"/>
      <c r="E10" s="30"/>
      <c r="F10" s="30"/>
      <c r="G10" s="30"/>
      <c r="H10" s="30"/>
      <c r="I10" s="30"/>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30"/>
      <c r="B12" s="30"/>
      <c r="C12" s="30"/>
      <c r="D12" s="30"/>
      <c r="E12" s="30"/>
      <c r="F12" s="30"/>
      <c r="G12" s="30"/>
      <c r="H12" s="30"/>
      <c r="I12" s="30"/>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30"/>
      <c r="B14" s="30"/>
      <c r="C14" s="30"/>
      <c r="D14" s="30"/>
      <c r="E14" s="30"/>
      <c r="F14" s="30"/>
      <c r="G14" s="30"/>
      <c r="H14" s="30"/>
      <c r="I14" s="30"/>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30"/>
      <c r="B16" s="30"/>
      <c r="C16" s="30"/>
      <c r="D16" s="30"/>
      <c r="E16" s="30"/>
      <c r="F16" s="30"/>
      <c r="G16" s="30"/>
      <c r="H16" s="30"/>
      <c r="I16" s="30"/>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30"/>
      <c r="B18" s="30"/>
      <c r="C18" s="30"/>
      <c r="D18" s="30"/>
      <c r="E18" s="30"/>
      <c r="F18" s="30"/>
      <c r="G18" s="30"/>
      <c r="H18" s="30"/>
      <c r="I18" s="30"/>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7" activePane="bottomLeft" state="frozen"/>
      <selection pane="topLeft" activeCell="A1" activeCellId="0" sqref="A1"/>
      <selection pane="bottomLeft" activeCell="C13" activeCellId="0" sqref="C13"/>
    </sheetView>
  </sheetViews>
  <sheetFormatPr defaultColWidth="8.56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24" t="s">
        <v>116</v>
      </c>
      <c r="B1" s="24"/>
      <c r="C1" s="24"/>
      <c r="D1" s="24"/>
      <c r="E1" s="24"/>
      <c r="F1" s="24"/>
      <c r="G1" s="24"/>
      <c r="H1" s="24"/>
      <c r="I1" s="24"/>
    </row>
    <row r="2" customFormat="false" ht="14.25" hidden="false" customHeight="true" outlineLevel="0" collapsed="false">
      <c r="A2" s="32" t="s">
        <v>117</v>
      </c>
      <c r="B2" s="32"/>
      <c r="C2" s="32"/>
      <c r="D2" s="32"/>
      <c r="E2" s="32"/>
      <c r="F2" s="32"/>
      <c r="G2" s="32"/>
      <c r="H2" s="32"/>
      <c r="I2" s="32"/>
    </row>
    <row r="3" customFormat="false" ht="18" hidden="false" customHeight="true" outlineLevel="0" collapsed="false">
      <c r="A3" s="33" t="s">
        <v>118</v>
      </c>
      <c r="B3" s="34" t="s">
        <v>119</v>
      </c>
      <c r="C3" s="34"/>
      <c r="D3" s="35" t="s">
        <v>120</v>
      </c>
      <c r="E3" s="34" t="s">
        <v>121</v>
      </c>
      <c r="F3" s="34"/>
      <c r="G3" s="36" t="s">
        <v>122</v>
      </c>
      <c r="H3" s="34" t="s">
        <v>123</v>
      </c>
      <c r="I3" s="34"/>
    </row>
    <row r="5" customFormat="false" ht="27.75" hidden="false" customHeight="true" outlineLevel="0" collapsed="false">
      <c r="A5" s="9" t="s">
        <v>124</v>
      </c>
      <c r="B5" s="9" t="s">
        <v>2</v>
      </c>
      <c r="C5" s="9" t="s">
        <v>14</v>
      </c>
      <c r="D5" s="9" t="s">
        <v>125</v>
      </c>
      <c r="E5" s="9" t="s">
        <v>126</v>
      </c>
      <c r="F5" s="9" t="s">
        <v>127</v>
      </c>
      <c r="G5" s="9" t="s">
        <v>128</v>
      </c>
      <c r="H5" s="9" t="s">
        <v>129</v>
      </c>
      <c r="I5" s="9" t="s">
        <v>130</v>
      </c>
    </row>
    <row r="6" customFormat="false" ht="27.75" hidden="false" customHeight="true" outlineLevel="0" collapsed="false">
      <c r="A6" s="37" t="n">
        <v>46314</v>
      </c>
      <c r="B6" s="18" t="s">
        <v>3</v>
      </c>
      <c r="C6" s="38" t="s">
        <v>24</v>
      </c>
      <c r="D6" s="11" t="s">
        <v>131</v>
      </c>
      <c r="E6" s="39"/>
      <c r="F6" s="39"/>
      <c r="G6" s="39"/>
      <c r="H6" s="39"/>
      <c r="I6" s="39"/>
    </row>
    <row r="7" customFormat="false" ht="54.75" hidden="false" customHeight="true" outlineLevel="0" collapsed="false">
      <c r="A7" s="37" t="n">
        <v>46315</v>
      </c>
      <c r="B7" s="18" t="s">
        <v>3</v>
      </c>
      <c r="C7" s="40" t="s">
        <v>34</v>
      </c>
      <c r="D7" s="16" t="s">
        <v>36</v>
      </c>
      <c r="E7" s="30"/>
      <c r="F7" s="30"/>
      <c r="G7" s="30"/>
      <c r="H7" s="30"/>
      <c r="I7" s="30"/>
    </row>
    <row r="8" customFormat="false" ht="30" hidden="false" customHeight="true" outlineLevel="0" collapsed="false">
      <c r="A8" s="37" t="n">
        <v>46316</v>
      </c>
      <c r="B8" s="18" t="s">
        <v>3</v>
      </c>
      <c r="C8" s="18" t="s">
        <v>43</v>
      </c>
      <c r="D8" s="18" t="s">
        <v>132</v>
      </c>
      <c r="E8" s="18"/>
      <c r="F8" s="18"/>
      <c r="G8" s="18"/>
      <c r="H8" s="18"/>
      <c r="I8" s="18"/>
    </row>
    <row r="9" customFormat="false" ht="30" hidden="false" customHeight="true" outlineLevel="0" collapsed="false">
      <c r="A9" s="37" t="n">
        <v>46317</v>
      </c>
      <c r="B9" s="18" t="s">
        <v>3</v>
      </c>
      <c r="C9" s="18" t="s">
        <v>53</v>
      </c>
      <c r="D9" s="18" t="s">
        <v>55</v>
      </c>
      <c r="E9" s="18"/>
      <c r="F9" s="18"/>
      <c r="G9" s="18"/>
      <c r="H9" s="18"/>
      <c r="I9" s="18"/>
    </row>
    <row r="10" customFormat="false" ht="30" hidden="false" customHeight="true" outlineLevel="0" collapsed="false">
      <c r="A10" s="37" t="n">
        <v>46318</v>
      </c>
      <c r="B10" s="18" t="s">
        <v>3</v>
      </c>
      <c r="C10" s="18" t="s">
        <v>72</v>
      </c>
      <c r="D10" s="18" t="s">
        <v>74</v>
      </c>
      <c r="E10" s="18"/>
      <c r="F10" s="18"/>
      <c r="G10" s="18"/>
      <c r="H10" s="18"/>
      <c r="I10" s="18"/>
    </row>
    <row r="11" customFormat="false" ht="30" hidden="false" customHeight="true" outlineLevel="0" collapsed="false">
      <c r="A11" s="37" t="n">
        <v>46319</v>
      </c>
      <c r="B11" s="18" t="s">
        <v>3</v>
      </c>
      <c r="C11" s="41" t="s">
        <v>63</v>
      </c>
      <c r="D11" s="18" t="s">
        <v>64</v>
      </c>
      <c r="E11" s="31"/>
      <c r="F11" s="31"/>
      <c r="G11" s="31"/>
      <c r="H11" s="31"/>
      <c r="I11" s="31"/>
    </row>
    <row r="12" customFormat="false" ht="30" hidden="false" customHeight="true" outlineLevel="0" collapsed="false">
      <c r="A12" s="37" t="n">
        <v>46319</v>
      </c>
      <c r="B12" s="18" t="s">
        <v>3</v>
      </c>
      <c r="C12" s="18" t="s">
        <v>81</v>
      </c>
      <c r="D12" s="18" t="s">
        <v>83</v>
      </c>
      <c r="E12" s="18"/>
      <c r="F12" s="18"/>
      <c r="G12" s="30"/>
      <c r="H12" s="30"/>
      <c r="I12" s="30"/>
    </row>
    <row r="13" customFormat="false" ht="30" hidden="false" customHeight="true" outlineLevel="0" collapsed="false">
      <c r="A13" s="37" t="n">
        <v>46319</v>
      </c>
      <c r="B13" s="18" t="s">
        <v>3</v>
      </c>
      <c r="C13" s="18" t="s">
        <v>133</v>
      </c>
      <c r="D13" s="18" t="s">
        <v>94</v>
      </c>
      <c r="E13" s="31"/>
      <c r="F13" s="31"/>
      <c r="G13" s="31"/>
      <c r="H13" s="31"/>
      <c r="I13" s="31"/>
    </row>
    <row r="14" customFormat="false" ht="30" hidden="false" customHeight="true" outlineLevel="0" collapsed="false">
      <c r="A14" s="30"/>
      <c r="B14" s="30"/>
      <c r="C14" s="40"/>
      <c r="D14" s="30"/>
      <c r="E14" s="30"/>
      <c r="F14" s="30"/>
      <c r="G14" s="30"/>
      <c r="H14" s="30"/>
      <c r="I14" s="30"/>
    </row>
    <row r="15" customFormat="false" ht="30" hidden="false" customHeight="true" outlineLevel="0" collapsed="false">
      <c r="A15" s="31"/>
      <c r="B15" s="31"/>
      <c r="C15" s="41"/>
      <c r="D15" s="31"/>
      <c r="E15" s="31"/>
      <c r="F15" s="31"/>
      <c r="G15" s="31"/>
      <c r="H15" s="31"/>
      <c r="I15" s="31"/>
    </row>
    <row r="16" customFormat="false" ht="25.5" hidden="false" customHeight="true" outlineLevel="0" collapsed="false">
      <c r="A16" s="30"/>
      <c r="B16" s="30"/>
      <c r="C16" s="40"/>
      <c r="D16" s="30"/>
      <c r="E16" s="30"/>
      <c r="F16" s="30"/>
      <c r="G16" s="30"/>
      <c r="H16" s="30"/>
      <c r="I16" s="30"/>
    </row>
    <row r="17" customFormat="false" ht="25.5" hidden="false" customHeight="true" outlineLevel="0" collapsed="false">
      <c r="A17" s="31"/>
      <c r="B17" s="31"/>
      <c r="C17" s="41"/>
      <c r="D17" s="31"/>
      <c r="E17" s="31"/>
      <c r="F17" s="31"/>
      <c r="G17" s="31"/>
      <c r="H17" s="31"/>
      <c r="I17" s="31"/>
    </row>
    <row r="18" customFormat="false" ht="25.5" hidden="false" customHeight="true" outlineLevel="0" collapsed="false">
      <c r="A18" s="30"/>
      <c r="B18" s="30"/>
      <c r="C18" s="40"/>
      <c r="D18" s="30"/>
      <c r="E18" s="30"/>
      <c r="F18" s="30"/>
      <c r="G18" s="30"/>
      <c r="H18" s="30"/>
      <c r="I18" s="30"/>
    </row>
    <row r="19" customFormat="false" ht="25.5" hidden="false" customHeight="true" outlineLevel="0" collapsed="false">
      <c r="A19" s="31"/>
      <c r="B19" s="31"/>
      <c r="C19" s="41"/>
      <c r="D19" s="31"/>
      <c r="E19" s="31"/>
      <c r="F19" s="31"/>
      <c r="G19" s="31"/>
      <c r="H19" s="31"/>
      <c r="I19" s="31"/>
    </row>
    <row r="20" customFormat="false" ht="25.5" hidden="false" customHeight="true" outlineLevel="0" collapsed="false"/>
    <row r="21" customFormat="false" ht="25.5" hidden="false" customHeight="true" outlineLevel="0" collapsed="false">
      <c r="C21" s="42" t="s">
        <v>134</v>
      </c>
      <c r="D21" s="43" t="n">
        <f aca="false">COUNTIF($F$8:$F$19,"Green")</f>
        <v>0</v>
      </c>
      <c r="E21" s="44" t="n">
        <f aca="false">COUNTIF($F$8:$F$19,"Amber")</f>
        <v>0</v>
      </c>
      <c r="F21" s="45" t="n">
        <f aca="false">COUNTIF($F$8:$F$19,"Red")</f>
        <v>0</v>
      </c>
    </row>
    <row r="22" customFormat="false" ht="25.5" hidden="false" customHeight="true" outlineLevel="0" collapsed="false">
      <c r="D22" s="46" t="s">
        <v>135</v>
      </c>
      <c r="E22" s="46" t="s">
        <v>136</v>
      </c>
      <c r="F22" s="46" t="s">
        <v>137</v>
      </c>
    </row>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row r="27" customFormat="false" ht="25.5" hidden="false" customHeight="true" outlineLevel="0" collapsed="false"/>
  </sheetData>
  <mergeCells count="5">
    <mergeCell ref="A1:I1"/>
    <mergeCell ref="A2:I2"/>
    <mergeCell ref="B3:C3"/>
    <mergeCell ref="E3:F3"/>
    <mergeCell ref="H3:I3"/>
  </mergeCells>
  <conditionalFormatting sqref="F7:F27">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7" type="list">
      <formula1>"BUILD,GROW,LAUNCH"</formula1>
      <formula2>0</formula2>
    </dataValidation>
    <dataValidation allowBlank="true" error="Pick a value from the list." errorStyle="stop" errorTitle="Choose from the list" operator="between" showDropDown="false" showErrorMessage="false" showInputMessage="false" sqref="C7:C27"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7:F27" type="list">
      <formula1>"Green,Amber,Red"</formula1>
      <formula2>0</formula2>
    </dataValidation>
    <dataValidation allowBlank="true" error="Pick a value from the list." errorStyle="stop" errorTitle="Choose from the list" operator="between" showDropDown="false" showErrorMessage="false" showInputMessage="false" sqref="H7:H27"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Helen Stewart</cp:lastModifiedBy>
  <dcterms:modified xsi:type="dcterms:W3CDTF">2026-07-15T11:04:52Z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