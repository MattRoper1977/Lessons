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<sst xmlns="http://schemas.openxmlformats.org/spreadsheetml/2006/main" count="181" uniqueCount="148">
  <si>
    <t xml:space="preserve">Weekly Planner - To be submitted to Head of School prior to the start of each Half-Term</t>
  </si>
  <si>
    <t xml:space="preserve">Progress Schools  ·  linked to the 2026/27 Schemes of Work</t>
  </si>
  <si>
    <t xml:space="preserve">Pathway</t>
  </si>
  <si>
    <t xml:space="preserve">LAUNCH</t>
  </si>
  <si>
    <t xml:space="preserve">Week no.</t>
  </si>
  <si>
    <t xml:space="preserve">Term</t>
  </si>
  <si>
    <t xml:space="preserve">Autumn</t>
  </si>
  <si>
    <t xml:space="preserve">Group / class</t>
  </si>
  <si>
    <t xml:space="preserve">Launch</t>
  </si>
  <si>
    <t xml:space="preserve">Theme</t>
  </si>
  <si>
    <t xml:space="preserve">Teacher</t>
  </si>
  <si>
    <t xml:space="preserve">Week commencing</t>
  </si>
  <si>
    <t xml:space="preserve">Reviewed by</t>
  </si>
  <si>
    <t xml:space="preserve">SMSC/BV this week: British Values launch — assembly introduces the five values; PSHE W1–2 builds the identity &amp; rights work into a signed class charter.  EVIDENCE: charter photo + BV hub RAG → log in the SMSC Evidence Tracker.</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</si>
  <si>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</si>
  <si>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</si>
  <si>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</si>
  <si>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</si>
  <si>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</si>
  <si>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</si>
  <si>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</si>
  <si>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</si>
  <si>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</si>
  <si>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</si>
  <si>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</si>
  <si>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AQA GCSE English Language 8700 Paper 1 baseline: unseen fiction reading, creative writing and individual AO target setting. Pearson FS L1–L2 and TRT catch-up where appropriate. Spoken Language evidence begun.</t>
  </si>
  <si>
    <t xml:space="preserve">I can complete a low-pressure reading and writing baseline and identify one English target for this half-term.</t>
  </si>
  <si>
    <t xml:space="preserve">Soft-start literacy task → introduce Paper 1 questions in student-friendly language → read short unseen fiction extract → complete baseline Q1–Q4 style reading tasks where appropriate → short descriptive/narrative writing task → confidence check → agree one AO target. Short discussion responses can begin Spoken Language evidence.</t>
  </si>
  <si>
    <t xml:space="preserve">baseline, retrieve, analyse, evaluate, structure, language, description, target, confidence</t>
  </si>
  <si>
    <t xml:space="preserve">Unseen fiction extract; AQA Paper 1 sample questions; writing prompt/image; confidence tracker; AO target sheet; coloured paper/overlays; reading pens where needed; AR/BKSB</t>
  </si>
  <si>
    <t xml:space="preserve">F + S</t>
  </si>
  <si>
    <t xml:space="preserve">Reduced extract where needed; questions chunked one at a time; sentence starters for written responses; scribe/reader where appropriate; laptop typing option; no cold calling; movement/regulation breaks.</t>
  </si>
  <si>
    <t xml:space="preserve">TA to support reading access, prompt task initiation, scribe where agreed, and help students complete confidence/target sheet. Teacher to identify AO starting points and note barriers to access.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</si>
  <si>
    <t xml:space="preserve">To complete after teaching: note reading/writing baseline, confidence level, students needing TRT/reading intervention, and AO targets to transfer to tracker.  → Influence: shapes the next instruction and the mock-exam plan; feeds the EHCP/PfA target at review [NS].</t>
  </si>
  <si>
    <t xml:space="preserve">Maths</t>
  </si>
  <si>
    <t xml:space="preserve">Number, money &amp; financial capability</t>
  </si>
  <si>
    <t xml:space="preserve">I can complete a Maths baseline assessment and identify one Maths target for this half-term.</t>
  </si>
  <si>
    <t xml:space="preserve">Complete a baseline assessment to identify current Maths knowledge and skills.
Answer questions covering key areas of the Maths curriculum.
Discuss strengths and areas for development following the assessment.
Reflect on individual performance and learning needs.
Identify and set one achievable Maths target for the half-term.
Share targets with the teacher and discuss strategies for success.
Record personal targets and review progress regularly.
Baseline with dignity: short carousel stations — number, money, calculator — so the baseline feels like a challenge circuit, not an exam; targets agreed 1:1 at the end.</t>
  </si>
  <si>
    <t xml:space="preserve">Baseline
Assessment
Target
Progress
Achievement
Strength
Improvement
Reflect
Goal
Challenge
Success
Learning
Skills
Next steps</t>
  </si>
  <si>
    <t xml:space="preserve">Maths baseline assessment papers
Pencils and maths equipment
Whiteboards and pens
Target-setting templates
Reflection sheets
Interactive whiteboard resources
Individual pupil records or tracking sheets</t>
  </si>
  <si>
    <t xml:space="preserve">F</t>
  </si>
  <si>
    <t xml:space="preserve">Provide additional reading support where appropriate.
Allow extra time for completion if required.
Use simplified language or visual prompts to support understanding.
Offer adult support to clarify instructions.
Enable pupils to record targets in written, verbal or pictorial formats.
Support pupils in setting realistic and achievable targets based on assessment outcomes.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</si>
  <si>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guidance on completing assessments and understanding expectations.
A calm and supportive environment to reduce assessment anxiety.
Individual discussions to help pupils reflect on their performance.
Support with identifying strengths and areas for improvement.
Positive reinforcement to encourage confidence and resilience.
Ongoing monitoring and review of targets throughout the half-term.
LOOP [Feedback Policy]: Voice = mini-whiteboard show-me / worked re-do [VF, I] → Audience: mark against the method, one [NS]; [R] on an accurate re-do → EVIDENCE: station photo + book (payslips/ratio), same day [E: numeracy/PfA — counts toward the 3-piece weekly minimum].</t>
  </si>
  <si>
    <t xml:space="preserve">Influence: the grade-push skill identified shapes the next lesson and the December summative plan [NS].</t>
  </si>
  <si>
    <t xml:space="preserve">Science</t>
  </si>
  <si>
    <t xml:space="preserve">Science baseline &amp; targets — Topic 1 starting points and working-scientifically skills · Edexcel GCSE Biology 1BI0 (F), Paper 1 · SoW Aut1·W1</t>
  </si>
  <si>
    <t xml:space="preserve">I can complete a low-pressure science baseline and agree one science target for this half-term.</t>
  </si>
  <si>
    <t xml:space="preserve">Baseline as a challenge circuit, not a test — matches the English &amp; Maths W1 baselines so pupils meet a consistent, low-threat start.  Soft-start 'what do you already know?' science mind-map → short rotation of low-stakes stations: (1) prior-knowledge probe on cells &amp; the body in student-friendly language; (2) working-scientifically skill check — handle a piece of equipment, read a simple scale, produce a quick labelled drawing; (3) science-literacy &amp; command-word taster (describe / name); (4) science-numeracy taster (read a value, a simple ratio) to flag readiness for the magnification maths in Week 4.  Confidence check → agree ONE science target on a target card.  EVIDENCE: baseline sheet + target card + photo → evidence platform; this is the starting-point record that Weeks 2+ show progress against.  GCSE NOTE: frames the 1BI0 Foundation journey — where we're heading and why.</t>
  </si>
  <si>
    <t xml:space="preserve">baseline, target, cell, label, scale, describe, estimate, working scientifically</t>
  </si>
  <si>
    <t xml:space="preserve">Low-threat student-friendly baseline booklet; simple equipment for the skill station (hand lens / microscope, ruler, scale); target cards; mini-whiteboards; camera; calm space.</t>
  </si>
  <si>
    <t xml:space="preserve">F + S (baseline banked as the starting-point record)</t>
  </si>
  <si>
    <t xml:space="preserve">Baseline is low-stakes for everyone — no timed pressure, results are private and used only to set targets, never displayed or compared.  Pupil A: magenta paper/overlay, calculator to hand, never questioned aloud — check in discreetly. Pupil B: writing frame/checklist available, may work independently with the option to check; quiet check-ins. Pupil C: never on the spot or publicly corrected; a clear 'what a good target looks like' model; challenge on, pressure off.</t>
  </si>
  <si>
    <t xml:space="preserve">Teacher frames it as a challenge day, not a test; TA supports each station and photographs baseline sheets + target cards; results shared 1:1.  LOOP [Feedback Policy]: Voice = baseline responses + spoken target choice [VF, I] → Audience: the teacher receives each baseline, names one strength and agrees one target before [R] → EVIDENCE: baseline sheet + target card + photo, same day [E: science baseline] — the starting point Weeks 2+ show progress against.</t>
  </si>
  <si>
    <t xml:space="preserve">Influence: the baseline sets each pupil's starting point and target — it shapes Week 2's grouping, the pace of Topic 1, and the first APDR science note [NS]. Note who is already secure on cells (accelerate / stretch) vs who needs the recap thread built in. Baseline banked as the S record.</t>
  </si>
  <si>
    <t xml:space="preserve">PSHE / RSE</t>
  </si>
  <si>
    <t xml:space="preserve">Identity, relationships &amp; rights in adult life · PSHE Association SEND framework · AQA UAS 'Healthy relationships'</t>
  </si>
  <si>
    <t xml:space="preserve">I can describe the different parts of my identity and explain what gives me a sense of belonging.</t>
  </si>
  <si>
    <t xml:space="preserve">Ground rules + distancing.  Active human barometer on belonging statements → 'Me in 6 emojis' identity wheel → share a strength via beanbag toss (opt-out fine) → class 'belonging' gallery.  EVIDENCE: identity / belonging task (AQA UAS 'Healthy relationships').  STRETCH: connect identity to rights &amp; belonging in society → toward optional GCSE Citizenship Studies (AQA 8100).</t>
  </si>
  <si>
    <t xml:space="preserve">identity, belonging, community, respect, ground rules, diversity</t>
  </si>
  <si>
    <t xml:space="preserve">PSHE Association SEND identity unit; identity-wheel sheets; belonging card sort; symbol support</t>
  </si>
  <si>
    <t xml:space="preserve">Symbol-supported identity wheel; opt-out of sharing; private 1:1 for sensitive items; easy-read prompts; pre-taught vocabulary.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</si>
  <si>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leads a small group and pre-agrees what each pupil is comfortable sharing; quiet space available.
LOOP [Feedback Policy]: Voice = recorded micro-interview / script-flip / portfolio piece [VF] → Audience: listen fully, name one strength + one [NS] before tagging; then [R] → EVIDENCE: recording/portfolio to evidence platform, same day [E: PfA/careers/transition — weekly PfA minimum].</t>
  </si>
  <si>
    <t xml:space="preserve">Influence: feeds each pupil's real destination (college/barbering) → PfA plan and IEDP Outcome 5 [NS].</t>
  </si>
  <si>
    <t xml:space="preserve">RE</t>
  </si>
  <si>
    <t xml:space="preserve">Belief, identity &amp; belonging</t>
  </si>
  <si>
    <t xml:space="preserve">I can understand how beliefs, identity and belonging contribute to positive wellbeing and participation in adult life.</t>
  </si>
  <si>
    <t xml:space="preserve">Explore how beliefs, values and a sense of belonging can support wellbeing, Discuss the importance of family, friendships, communities and faith groups in people's lives, Learn how beliefs and values can influence behaviour, choices and relationships, Explore examples of individuals contributing positively to their communities, Take part in discussions and reflection activities about belonging and inclusion, Identify ways people can participate in community life and support others, Create posters, drawings or written responses showing connections between beliefs, identity, belonging and wellbeing.</t>
  </si>
  <si>
    <t xml:space="preserve">Belief, Identity, Belonging, Wellbeing, Community, Faith, Values, Respect, Inclusion, Participation, Responsibility, Relationships, Support, Diversity, Citizenship, Contribution</t>
  </si>
  <si>
    <t xml:space="preserve">Stories and case studies, Discussion prompts, Photographs and videos of diverse communities, Art and craft materials, Vocabulary mats, Community and faith group examples</t>
  </si>
  <si>
    <t xml:space="preserve">Use visual prompts, stories and real-life examples to support understanding, Provide vocabulary mats and sentence starters for discussion and reflection, Allow pupils to share ideas through speaking, drawing, role-play or writing, Use paired and small-group activities to encourage participation and confidence, Provide additional adult support where required, Extend learning by encouraging pupils to explain how beliefs and belonging can influence wellbeing and community involvement.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</si>
  <si>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modelling of respectful discussion and reflective thinking, An inclusive environment where all identities, beliefs and experiences are valued, Guided questioning to encourage deeper understanding and personal reflection, Visual resources and key vocabulary displayed throughout lessons, Small-group support and scaffolding where needed, Positive reinforcement of respectful participation and contributions, Ongoing assessment through discussion, observation and questioning.
LOOP [Feedback Policy]: Voice = P-E-E paragraph + spoken viva; green-pen upgrade [//, NS, ?] → Audience: mark against the RS scheme and name the improvement; deferred response for the write; [R] after the upgrade is received → EVIDENCE: paragraph + before/after photo + viva clip [E: RE].</t>
  </si>
  <si>
    <t xml:space="preserve">Influence: the command-word skill shapes the next exam-style question and the December summative [NS].</t>
  </si>
  <si>
    <t xml:space="preserve">Humanities</t>
  </si>
  <si>
    <t xml:space="preserve">History: migration, identity &amp; 20th-century Britain (NC KS3/4) · AQA UAS 'Historical enquiry' · optional GCSE History 8145 (stretch) · SoW Aut1·W1</t>
  </si>
  <si>
    <t xml:space="preserve">I can use sources to investigate migration and identity in modern Britain.</t>
  </si>
  <si>
    <t xml:space="preserve">History Detective (active): move round migration source 'case-file' stations (Coming to England / Natives extracts, handling objects) → magnifying-glass hunt 'what does this source tell us?' → build a migration timeline on a washing-line.  EVIDENCE: source-annotation sheet + structured note (AQA UAS 'Historical enquiry').  GCSE STRETCH: 'what does this source suggest…' inference + provenance → toward optional GCSE History 8145 source skills.  Pupil A (dyslexia): the 'Coming to England / Natives' extracts on magenta / with overlay + a read-aloud option — or route her to the handling-objects and picture sources rather than the dense text.</t>
  </si>
  <si>
    <t xml:space="preserve">source, evidence, migration, identity, chronology, significance</t>
  </si>
  <si>
    <t xml:space="preserve">Coming to England &amp; Natives supported extracts; digital archive sources; timeline strip; source-annotation sheet</t>
  </si>
  <si>
    <t xml:space="preserve">Source glossary; reduced-source load; dual coding; writing frames; reader/scribe per access arrangements.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</si>
  <si>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supports the lower-reading group with the source glossary.
LOOP [Feedback Policy]: Voice = source-based edit / structured account [//, NS] → Audience: read against the criteria and name the change; deferred for the account; then [R] → EVIDENCE: coded book + enrichment photos [E: humanities].</t>
  </si>
  <si>
    <t xml:space="preserve">Influence: assessment technique shapes the next enquiry's scaffold [NS].</t>
  </si>
  <si>
    <t xml:space="preserve">Arts (Arts Award)</t>
  </si>
  <si>
    <t xml:space="preserve">Identity in art: developing as an artist (Trinity Arts Award Silver, Unit 1 Part A) · stretch to Gold / GCSE Art · SoW Creative Arts</t>
  </si>
  <si>
    <t xml:space="preserve">I can develop my own art practice and begin recording it in my Arts Award portfolio.</t>
  </si>
  <si>
    <t xml:space="preserve">Gallery Detectives → hands-on media carousel (collage / drawing / paint / digital) exploring surreal self-portraiture (Magritte, Kahlo) → quick 'art battle' → start the Arts Award Silver journal.  EVIDENCE: Arts Award Silver portfolio entry + photos.  GCSE STRETCH: a sketchbook artist-study &amp; development page → toward Arts Award Gold / GCSE Art.</t>
  </si>
  <si>
    <t xml:space="preserve">portfolio, medium, composition, self-portrait, symbolism, reflection</t>
  </si>
  <si>
    <t xml:space="preserve">Trinity Arts Award Silver logbooks; portrait media (collage / drawing / digital); artist exemplars (Magritte, Kahlo, BHM artists); journal pages</t>
  </si>
  <si>
    <t xml:space="preserve">S</t>
  </si>
  <si>
    <t xml:space="preserve">Choice of medium; photo-journal option instead of a written log; visual exemplars; scribing / voice-notes for reflection.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</si>
  <si>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supports journaling and photographs evidence for the portfolio.
LOOP [Feedback Policy]: Voice = make + written/recorded arts review + reflection [VF, //] → Audience: engage with the review against the Award criteria, one [NS]; listen fully before tagging; then [R] → EVIDENCE: Arts Award Silver portfolio = the accreditation evidence [E: Arts Award] — live/deferred.</t>
  </si>
  <si>
    <t xml:space="preserve">Influence: the portfolio builds toward Silver → accreditation next step at moderation [NS].</t>
  </si>
  <si>
    <t xml:space="preserve">PfA/ASDAN PEQ</t>
  </si>
  <si>
    <t xml:space="preserve">PEQ baseline and route decision. ASDAN Personal Effectiveness Qualification specification alignment: initial assessment, likely Level 1/Level 2 route, portfolio set-up and qualification-size planning. Primary Launch route: Level 2 Award first, then Extended Award/Certificate where GLH, TQT and evidence are sufficient; Level 1 route available where initial assessment indicates.</t>
  </si>
  <si>
    <t xml:space="preserve">I can complete a PEQ skills baseline and identify my likely PEQ route, first unit target and portfolio set-up needs.</t>
  </si>
  <si>
    <t xml:space="preserve">Soft-start skills confidence scale → explain PEQ as portfolio-based, pass/fail and preparation for work → initial assessment against Communication, Decision making, Learning, Team working, Critical thinking and Wellbeing → choose first target unit → set up physical/digital portfolio → agree one evidence target.</t>
  </si>
  <si>
    <t xml:space="preserve">personal effectiveness, portfolio, pass, fail, credit, GLH, TQT, initial assessment, route, evidence, criteria</t>
  </si>
  <si>
    <t xml:space="preserve">ASDAN PEQ specification summary; learner-friendly route sheet; skills baseline; portfolio folder/digital folder; evidence index; confidence tracker.</t>
  </si>
  <si>
    <t xml:space="preserve">Baseline can be verbal, scribed or typed; reading support for criteria; reduced-choice route sheet; coloured paper/overlay; regulation break before target setting; no public sharing of sensitive wellbeing information.</t>
  </si>
  <si>
    <t xml:space="preserve">TA to support reading of criteria, organisation of folders and task initiation. Teacher to record likely level/size, access needs and first target unit without registering before route is confirmed.</t>
  </si>
  <si>
    <t xml:space="preserve">To complete after teaching: note likely PEQ level/size, first target unit, portfolio location, access arrangements/reasonable adjustments and any barriers to evidence collection.</t>
  </si>
  <si>
    <t xml:space="preserve">PE</t>
  </si>
  <si>
    <t xml:space="preserve">Independent Living Skills</t>
  </si>
  <si>
    <t xml:space="preserve">
Looking after myself &amp; my home</t>
  </si>
  <si>
    <t xml:space="preserve">I will identify daily self-care tasks and create a simple routine to support independence.</t>
  </si>
  <si>
    <t xml:space="preserve">Starter: Discuss "What do I do before I leave home?"
Sort pictures/cards into morning and evening routines 
Create a personalised daily routine checklist 
Review one strategy for remembering tasks (phone reminder, visual timetable, checklist) </t>
  </si>
  <si>
    <t xml:space="preserve">Self-care
Routine
Organisation
Hygiene
Reminder
Schedule</t>
  </si>
  <si>
    <t xml:space="preserve">Routine picture cards
Visual timetable templates
Pens/pencils
Example daily checklist
Whiteboard</t>
  </si>
  <si>
    <t xml:space="preserve">Use symbols and visual supports.
Provide pre-made routines for students to select from.
Adult support for writing.
Use assistive technology (e.g., tablet checklist).
Extension: Create a full weekday timetable independently.</t>
  </si>
  <si>
    <t xml:space="preserve">Model examples of effective routines.
Use visual timetables throughout the lesson.
Provide verbal prompts and reassurance.
Break tasks into small, manageable steps.
Encourage peer discussion and sharing of ideas.</t>
  </si>
  <si>
    <t xml:space="preserve">Enrichment &amp; wider opportunities this week   (trips, visitors, themed days, SMSC calendar link, PfA / community)</t>
  </si>
  <si>
    <t xml:space="preserve">Mon: International Day of Peace assembly — conflict resolution &amp; belonging.  Fri (26 Sep): European Day of Languages — celebrate linguistic diversity (tutor time).  Whole-school theme assembly: Identity &amp; Belonging.  PfA / community: a local walk — outdoor regulation, community access and a relaxed chance to talk.</t>
  </si>
  <si>
    <t xml:space="preserve">Resources &amp; support to prepare before the week   (printing, kit, bookings, briefing the team)</t>
  </si>
  <si>
    <t xml:space="preserve">Print: science baseline booklets + target cards, identity-wheel / emoji &amp; belonging-statement cards, source case-file sheets, Arts Award Silver journal pages.  Kit: science baseline stations (hand lens, ruler, simple scale); art-station media (collage / paint / digital); magnifiers &amp; washing-line timeline.  Brief TAs Mon 8:40 on Pupil A &amp; Pupil B (soft start, take-up time, sharing opt-out).  Confirm parental agreement for RSHE on file.</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</si>
  <si>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</si>
  <si>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</si>
  <si>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</si>
  <si>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</si>
  <si>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</si>
  <si>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</si>
  <si>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</si>
  <si>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</si>
  <si>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</si>
  <si>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</si>
  <si>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</si>
  <si>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</si>
  <si>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</si>
  <si>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</si>
  <si>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</si>
  <si>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</si>
  <si>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</si>
  <si>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</si>
  <si>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</si>
  <si>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</si>
  <si>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</si>
  <si>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</si>
  <si>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</si>
  <si>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</si>
  <si>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</si>
  <si>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</si>
  <si>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</si>
  <si>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</si>
  <si>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</si>
  <si>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Baseline reading and writing completed; one AO target agreed and recorded for each student.</t>
  </si>
  <si>
    <t xml:space="preserve">Personal Development / PfA</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</si>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</sst>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6">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2"/>
      <charset val="1"/>
    </font>
    <font>
      <b val="true"/>
      <sz val="9"/>
      <color rgb="FFFFFFFF"/>
      <name val="Arial"/>
      <family val="2"/>
      <charset val="1"/>
    </font>
    <font>
      <b val="true"/>
      <sz val="9"/>
      <color rgb="FF1B2420"/>
      <name val="Arial"/>
      <family val="2"/>
      <charset val="1"/>
    </font>
    <font>
      <sz val="9"/>
      <color theme="1"/>
      <name val="Calibri"/>
      <family val="2"/>
      <charset val="1"/>
    </font>
    <font>
      <sz val="9"/>
      <color rgb="FF1B2420"/>
      <name val="Arial"/>
      <family val="2"/>
      <charset val="1"/>
    </font>
    <font>
      <sz val="9"/>
      <color theme="1"/>
      <name val="Arial"/>
      <family val="2"/>
      <charset val="1"/>
    </font>
    <font>
      <sz val="9"/>
      <color rgb="FF000000"/>
      <name val="Arial"/>
      <family val="2"/>
      <charset val="1"/>
    </font>
    <font>
      <sz val="9"/>
      <color rgb="FF000000"/>
      <name val="Arial"/>
      <family val="0"/>
      <charset val="1"/>
    </font>
    <font>
      <sz val="8"/>
      <color rgb="FF566159"/>
      <name val="Arial"/>
      <family val="2"/>
      <charset val="1"/>
    </font>
    <font>
      <i val="true"/>
      <sz val="8"/>
      <color rgb="FF566159"/>
      <name val="Arial"/>
      <family val="2"/>
      <charset val="1"/>
    </font>
    <font>
      <b val="true"/>
      <sz val="16"/>
      <color rgb="FFFFFFFF"/>
      <name val="Arial"/>
      <family val="2"/>
      <charset val="1"/>
    </font>
    <font>
      <sz val="9"/>
      <color rgb="FF1F2A44"/>
      <name val="Open Sans"/>
      <family val="2"/>
      <charset val="1"/>
    </font>
    <font>
      <sz val="10"/>
      <name val="Arial"/>
      <family val="2"/>
      <charset val="1"/>
    </font>
    <font>
      <sz val="9"/>
      <name val="Arial"/>
      <family val="2"/>
      <charset val="1"/>
    </font>
    <font>
      <sz val="9"/>
      <color rgb="FF000000"/>
      <name val="Calibri"/>
      <family val="2"/>
      <charset val="1"/>
    </font>
    <font>
      <b val="true"/>
      <sz val="9"/>
      <color theme="1"/>
      <name val="Arial"/>
      <family val="2"/>
      <charset val="1"/>
    </font>
    <font>
      <b val="true"/>
      <sz val="10"/>
      <color rgb="FFFFFFFF"/>
      <name val="Arial"/>
      <family val="2"/>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9">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color rgb="FFC3CDC1"/>
      </left>
      <right style="thin">
        <color rgb="FFC3CDC1"/>
      </right>
      <top style="thin">
        <color rgb="FFC3CDC1"/>
      </top>
      <bottom/>
      <diagonal/>
    </border>
    <border diagonalUp="false" diagonalDown="false">
      <left style="thin">
        <color rgb="FFC3CDC1"/>
      </left>
      <right/>
      <top style="thin">
        <color rgb="FFC3CDC1"/>
      </top>
      <bottom style="thin">
        <color rgb="FFC3CDC1"/>
      </bottom>
      <diagonal/>
    </border>
    <border diagonalUp="false" diagonalDown="false">
      <left style="thin"/>
      <right style="thin"/>
      <top style="thin"/>
      <bottom style="thin"/>
      <diagonal/>
    </border>
    <border diagonalUp="false" diagonalDown="false">
      <left style="thin">
        <color rgb="FFC3CDC1"/>
      </left>
      <right style="thin">
        <color rgb="FFC3CDC1"/>
      </right>
      <top/>
      <bottom style="thin">
        <color rgb="FFC3CDC1"/>
      </bottom>
      <diagonal/>
    </border>
    <border diagonalUp="false" diagonalDown="false">
      <left/>
      <right/>
      <top style="thin">
        <color rgb="FF95B3D7"/>
      </top>
      <bottom style="thin">
        <color rgb="FF95B3D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0" fillId="2" borderId="4" xfId="0" applyFont="true" applyBorder="true" applyAlignment="true" applyProtection="false">
      <alignment horizontal="center" vertical="center" textRotation="0" wrapText="true" indent="0" shrinkToFit="false"/>
      <protection locked="true" hidden="false"/>
    </xf>
    <xf numFmtId="164" fontId="11" fillId="5" borderId="5" xfId="0" applyFont="true" applyBorder="true" applyAlignment="true" applyProtection="false">
      <alignment horizontal="left" vertical="center" textRotation="0" wrapText="true" indent="0" shrinkToFit="false"/>
      <protection locked="true" hidden="false"/>
    </xf>
    <xf numFmtId="164" fontId="12" fillId="0" borderId="6" xfId="0" applyFont="true" applyBorder="true" applyAlignment="true" applyProtection="false">
      <alignment horizontal="general" vertical="bottom" textRotation="0" wrapText="true" indent="0" shrinkToFit="false"/>
      <protection locked="true" hidden="false"/>
    </xf>
    <xf numFmtId="164" fontId="13" fillId="5" borderId="6"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3" fillId="6" borderId="7" xfId="0" applyFont="true" applyBorder="true" applyAlignment="true" applyProtection="false">
      <alignment horizontal="left" vertical="center" textRotation="0" wrapText="true" indent="0" shrinkToFit="false"/>
      <protection locked="true" hidden="false"/>
    </xf>
    <xf numFmtId="164" fontId="14" fillId="6" borderId="7" xfId="0" applyFont="true" applyBorder="true" applyAlignment="true" applyProtection="false">
      <alignment horizontal="left"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15" fillId="5" borderId="3" xfId="0" applyFont="true" applyBorder="true" applyAlignment="true" applyProtection="false">
      <alignment horizontal="center" vertical="center" textRotation="0" wrapText="true" indent="0" shrinkToFit="false"/>
      <protection locked="true" hidden="false"/>
    </xf>
    <xf numFmtId="164" fontId="16" fillId="5" borderId="8" xfId="0" applyFont="true" applyBorder="true" applyAlignment="true" applyProtection="false">
      <alignment horizontal="general" vertical="center" textRotation="0" wrapText="true" indent="0" shrinkToFit="false"/>
      <protection locked="true" hidden="false"/>
    </xf>
    <xf numFmtId="164" fontId="15" fillId="5" borderId="8" xfId="0" applyFont="true" applyBorder="true" applyAlignment="true" applyProtection="false">
      <alignment horizontal="general" vertical="center" textRotation="0" wrapText="true" indent="0" shrinkToFit="false"/>
      <protection locked="true" hidden="false"/>
    </xf>
    <xf numFmtId="164" fontId="15" fillId="5" borderId="6" xfId="0" applyFont="true" applyBorder="true" applyAlignment="true" applyProtection="false">
      <alignment horizontal="general"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general" vertical="top" textRotation="0" wrapText="true" indent="0" shrinkToFit="false"/>
      <protection locked="true" hidden="false"/>
    </xf>
    <xf numFmtId="164" fontId="17" fillId="6" borderId="3"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6" fontId="13" fillId="5" borderId="3"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13" fillId="5" borderId="4" xfId="0" applyFont="true" applyBorder="true" applyAlignment="true" applyProtection="false">
      <alignment horizontal="left" vertical="center" textRotation="0" wrapText="true" indent="0" shrinkToFit="false"/>
      <protection locked="true" hidden="false"/>
    </xf>
    <xf numFmtId="166" fontId="13" fillId="5" borderId="5" xfId="0" applyFont="true" applyBorder="true" applyAlignment="true" applyProtection="false">
      <alignment horizontal="left" vertical="center" textRotation="0" wrapText="true" indent="0" shrinkToFit="false"/>
      <protection locked="true" hidden="false"/>
    </xf>
    <xf numFmtId="164" fontId="14" fillId="0" borderId="6" xfId="0" applyFont="true" applyBorder="true" applyAlignment="true" applyProtection="false">
      <alignment horizontal="general"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6" borderId="7"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24" fillId="0" borderId="3" xfId="0" applyFont="true" applyBorder="true" applyAlignment="true" applyProtection="false">
      <alignment horizontal="center"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5" fillId="7" borderId="0" xfId="0" applyFont="true" applyBorder="false" applyAlignment="true" applyProtection="false">
      <alignment horizontal="center" vertical="center" textRotation="0" wrapText="false" indent="0" shrinkToFit="false"/>
      <protection locked="true" hidden="false"/>
    </xf>
    <xf numFmtId="167" fontId="25" fillId="8" borderId="0" xfId="0" applyFont="true" applyBorder="false" applyAlignment="true" applyProtection="false">
      <alignment horizontal="center" vertical="center" textRotation="0" wrapText="false" indent="0" shrinkToFit="false"/>
      <protection locked="true" hidden="false"/>
    </xf>
    <xf numFmtId="167" fontId="25" fillId="9"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8" activePane="bottomLeft" state="frozen"/>
      <selection pane="topLeft" activeCell="A1" activeCellId="0" sqref="A1"/>
      <selection pane="bottomLeft" activeCell="C19" activeCellId="0" sqref="C19"/>
    </sheetView>
  </sheetViews>
  <sheetFormatPr defaultColWidth="8.57031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1</v>
      </c>
      <c r="F4" s="4" t="s">
        <v>4</v>
      </c>
      <c r="G4" s="5" t="n">
        <v>1</v>
      </c>
    </row>
    <row r="5" customFormat="false" ht="19.5" hidden="false" customHeight="true" outlineLevel="0" collapsed="false">
      <c r="A5" s="4" t="s">
        <v>5</v>
      </c>
      <c r="B5" s="5" t="s">
        <v>6</v>
      </c>
      <c r="F5" s="4" t="s">
        <v>7</v>
      </c>
      <c r="G5" s="5" t="s">
        <v>8</v>
      </c>
    </row>
    <row r="6" customFormat="false" ht="19.5" hidden="false" customHeight="true" outlineLevel="0" collapsed="false">
      <c r="A6" s="4" t="s">
        <v>9</v>
      </c>
      <c r="B6" s="6" t="str">
        <f aca="false">IF(B5="Autumn","Identity &amp; Belonging",IF(B5="Spring","Resilience &amp; Change",IF(B5="Summer","Our World, My Future","pick a term")))</f>
        <v>Identity &amp; Belonging</v>
      </c>
      <c r="C6" s="6"/>
      <c r="D6" s="6"/>
      <c r="F6" s="4" t="s">
        <v>10</v>
      </c>
      <c r="G6" s="5"/>
    </row>
    <row r="7" customFormat="false" ht="19.5" hidden="false" customHeight="true" outlineLevel="0" collapsed="false">
      <c r="A7" s="4" t="s">
        <v>11</v>
      </c>
      <c r="B7" s="7" t="n">
        <v>46266</v>
      </c>
      <c r="F7" s="4" t="s">
        <v>12</v>
      </c>
      <c r="G7" s="5"/>
    </row>
    <row r="8" customFormat="false" ht="33.75" hidden="false" customHeight="true" outlineLevel="0" collapsed="false">
      <c r="A8" s="8" t="s">
        <v>13</v>
      </c>
      <c r="B8" s="8"/>
      <c r="C8" s="8"/>
      <c r="D8" s="8"/>
      <c r="E8" s="8"/>
      <c r="F8" s="8"/>
      <c r="G8" s="8"/>
      <c r="H8" s="8"/>
      <c r="I8" s="8"/>
      <c r="J8" s="8"/>
    </row>
    <row r="9" customFormat="false" ht="30" hidden="false" customHeight="true" outlineLevel="0" collapsed="false">
      <c r="A9" s="9" t="s">
        <v>14</v>
      </c>
      <c r="B9" s="10" t="s">
        <v>15</v>
      </c>
      <c r="C9" s="10" t="s">
        <v>16</v>
      </c>
      <c r="D9" s="10" t="s">
        <v>17</v>
      </c>
      <c r="E9" s="10" t="s">
        <v>18</v>
      </c>
      <c r="F9" s="10" t="s">
        <v>19</v>
      </c>
      <c r="G9" s="10" t="s">
        <v>20</v>
      </c>
      <c r="H9" s="10" t="s">
        <v>21</v>
      </c>
      <c r="I9" s="10" t="s">
        <v>22</v>
      </c>
      <c r="J9" s="10" t="s">
        <v>23</v>
      </c>
    </row>
    <row r="10" customFormat="false" ht="330" hidden="false" customHeight="true" outlineLevel="0" collapsed="false">
      <c r="A10" s="11" t="s">
        <v>24</v>
      </c>
      <c r="B10" s="12" t="s">
        <v>25</v>
      </c>
      <c r="C10" s="12" t="s">
        <v>26</v>
      </c>
      <c r="D10" s="12" t="s">
        <v>27</v>
      </c>
      <c r="E10" s="12" t="s">
        <v>28</v>
      </c>
      <c r="F10" s="12" t="s">
        <v>29</v>
      </c>
      <c r="G10" s="13" t="s">
        <v>30</v>
      </c>
      <c r="H10" s="12" t="s">
        <v>31</v>
      </c>
      <c r="I10" s="12" t="s">
        <v>32</v>
      </c>
      <c r="J10" s="13" t="s">
        <v>33</v>
      </c>
    </row>
    <row r="11" customFormat="false" ht="330" hidden="false" customHeight="true" outlineLevel="0" collapsed="false">
      <c r="A11" s="14" t="s">
        <v>34</v>
      </c>
      <c r="B11" s="15" t="s">
        <v>35</v>
      </c>
      <c r="C11" s="16" t="s">
        <v>36</v>
      </c>
      <c r="D11" s="15" t="s">
        <v>37</v>
      </c>
      <c r="E11" s="15" t="s">
        <v>38</v>
      </c>
      <c r="F11" s="15" t="s">
        <v>39</v>
      </c>
      <c r="G11" s="15" t="s">
        <v>40</v>
      </c>
      <c r="H11" s="15" t="s">
        <v>41</v>
      </c>
      <c r="I11" s="15" t="s">
        <v>42</v>
      </c>
      <c r="J11" s="15" t="s">
        <v>43</v>
      </c>
    </row>
    <row r="12" customFormat="false" ht="339.75" hidden="false" customHeight="true" outlineLevel="0" collapsed="false">
      <c r="A12" s="17" t="s">
        <v>44</v>
      </c>
      <c r="B12" s="18" t="s">
        <v>45</v>
      </c>
      <c r="C12" s="18" t="s">
        <v>46</v>
      </c>
      <c r="D12" s="18" t="s">
        <v>47</v>
      </c>
      <c r="E12" s="18" t="s">
        <v>48</v>
      </c>
      <c r="F12" s="18" t="s">
        <v>49</v>
      </c>
      <c r="G12" s="18" t="s">
        <v>50</v>
      </c>
      <c r="H12" s="18" t="s">
        <v>51</v>
      </c>
      <c r="I12" s="18" t="s">
        <v>52</v>
      </c>
      <c r="J12" s="18" t="s">
        <v>53</v>
      </c>
    </row>
    <row r="13" customFormat="false" ht="330" hidden="false" customHeight="true" outlineLevel="0" collapsed="false">
      <c r="A13" s="14" t="s">
        <v>54</v>
      </c>
      <c r="B13" s="19" t="s">
        <v>55</v>
      </c>
      <c r="C13" s="19" t="s">
        <v>56</v>
      </c>
      <c r="D13" s="19" t="s">
        <v>57</v>
      </c>
      <c r="E13" s="19" t="s">
        <v>58</v>
      </c>
      <c r="F13" s="19" t="s">
        <v>59</v>
      </c>
      <c r="G13" s="19" t="s">
        <v>40</v>
      </c>
      <c r="H13" s="19" t="s">
        <v>60</v>
      </c>
      <c r="I13" s="19" t="s">
        <v>61</v>
      </c>
      <c r="J13" s="19" t="s">
        <v>62</v>
      </c>
    </row>
    <row r="14" customFormat="false" ht="330" hidden="false" customHeight="true" outlineLevel="0" collapsed="false">
      <c r="A14" s="17" t="s">
        <v>63</v>
      </c>
      <c r="B14" s="18" t="s">
        <v>64</v>
      </c>
      <c r="C14" s="18" t="s">
        <v>65</v>
      </c>
      <c r="D14" s="18" t="s">
        <v>66</v>
      </c>
      <c r="E14" s="18" t="s">
        <v>67</v>
      </c>
      <c r="F14" s="18" t="s">
        <v>68</v>
      </c>
      <c r="G14" s="18" t="s">
        <v>40</v>
      </c>
      <c r="H14" s="18" t="s">
        <v>69</v>
      </c>
      <c r="I14" s="18" t="s">
        <v>70</v>
      </c>
      <c r="J14" s="18" t="s">
        <v>71</v>
      </c>
    </row>
    <row r="15" customFormat="false" ht="360" hidden="false" customHeight="true" outlineLevel="0" collapsed="false">
      <c r="A15" s="14" t="s">
        <v>72</v>
      </c>
      <c r="B15" s="19" t="s">
        <v>73</v>
      </c>
      <c r="C15" s="19" t="s">
        <v>74</v>
      </c>
      <c r="D15" s="19" t="s">
        <v>75</v>
      </c>
      <c r="E15" s="19" t="s">
        <v>76</v>
      </c>
      <c r="F15" s="19" t="s">
        <v>77</v>
      </c>
      <c r="G15" s="19" t="s">
        <v>40</v>
      </c>
      <c r="H15" s="19" t="s">
        <v>78</v>
      </c>
      <c r="I15" s="19" t="s">
        <v>79</v>
      </c>
      <c r="J15" s="19" t="s">
        <v>80</v>
      </c>
    </row>
    <row r="16" customFormat="false" ht="361.5" hidden="false" customHeight="true" outlineLevel="0" collapsed="false">
      <c r="A16" s="20" t="s">
        <v>81</v>
      </c>
      <c r="B16" s="21" t="s">
        <v>82</v>
      </c>
      <c r="C16" s="21" t="s">
        <v>83</v>
      </c>
      <c r="D16" s="21" t="s">
        <v>84</v>
      </c>
      <c r="E16" s="21" t="s">
        <v>85</v>
      </c>
      <c r="F16" s="21" t="s">
        <v>86</v>
      </c>
      <c r="G16" s="21" t="s">
        <v>87</v>
      </c>
      <c r="H16" s="21" t="s">
        <v>88</v>
      </c>
      <c r="I16" s="21" t="s">
        <v>89</v>
      </c>
      <c r="J16" s="21" t="s">
        <v>90</v>
      </c>
    </row>
    <row r="17" customFormat="false" ht="229.5" hidden="false" customHeight="true" outlineLevel="0" collapsed="false">
      <c r="A17" s="20" t="s">
        <v>91</v>
      </c>
      <c r="B17" s="22" t="s">
        <v>92</v>
      </c>
      <c r="C17" s="23" t="s">
        <v>93</v>
      </c>
      <c r="D17" s="24" t="s">
        <v>94</v>
      </c>
      <c r="E17" s="24" t="s">
        <v>95</v>
      </c>
      <c r="F17" s="25" t="s">
        <v>96</v>
      </c>
      <c r="G17" s="21" t="s">
        <v>40</v>
      </c>
      <c r="H17" s="25" t="s">
        <v>97</v>
      </c>
      <c r="I17" s="25" t="s">
        <v>98</v>
      </c>
      <c r="J17" s="25" t="s">
        <v>99</v>
      </c>
    </row>
    <row r="18" customFormat="false" ht="45.75" hidden="false" customHeight="true" outlineLevel="0" collapsed="false">
      <c r="A18" s="14" t="s">
        <v>100</v>
      </c>
      <c r="B18" s="19"/>
      <c r="C18" s="19"/>
      <c r="D18" s="19"/>
      <c r="E18" s="19"/>
      <c r="F18" s="19"/>
      <c r="G18" s="19"/>
      <c r="H18" s="19"/>
      <c r="I18" s="19"/>
      <c r="J18" s="19"/>
    </row>
    <row r="19" customFormat="false" ht="45.75" hidden="false" customHeight="true" outlineLevel="0" collapsed="false">
      <c r="A19" s="17" t="s">
        <v>101</v>
      </c>
      <c r="B19" s="18" t="s">
        <v>102</v>
      </c>
      <c r="C19" s="18" t="s">
        <v>103</v>
      </c>
      <c r="D19" s="18" t="s">
        <v>104</v>
      </c>
      <c r="E19" s="18" t="s">
        <v>105</v>
      </c>
      <c r="F19" s="18" t="s">
        <v>106</v>
      </c>
      <c r="G19" s="18"/>
      <c r="H19" s="18" t="s">
        <v>107</v>
      </c>
      <c r="I19" s="18" t="s">
        <v>108</v>
      </c>
      <c r="J19" s="18"/>
    </row>
    <row r="21" customFormat="false" ht="18" hidden="false" customHeight="true" outlineLevel="0" collapsed="false">
      <c r="A21" s="26" t="s">
        <v>109</v>
      </c>
      <c r="B21" s="26"/>
      <c r="C21" s="26"/>
      <c r="D21" s="26"/>
      <c r="E21" s="26"/>
      <c r="F21" s="26"/>
      <c r="G21" s="26"/>
      <c r="H21" s="26"/>
      <c r="I21" s="26"/>
      <c r="J21" s="26"/>
    </row>
    <row r="22" customFormat="false" ht="117.75" hidden="false" customHeight="true" outlineLevel="0" collapsed="false">
      <c r="A22" s="27" t="s">
        <v>110</v>
      </c>
      <c r="B22" s="27"/>
      <c r="C22" s="27"/>
      <c r="D22" s="27"/>
      <c r="E22" s="27"/>
      <c r="F22" s="27"/>
      <c r="G22" s="27"/>
      <c r="H22" s="27"/>
      <c r="I22" s="27"/>
      <c r="J22" s="27"/>
    </row>
    <row r="23" customFormat="false" ht="18" hidden="false" customHeight="true" outlineLevel="0" collapsed="false">
      <c r="A23" s="26" t="s">
        <v>111</v>
      </c>
      <c r="B23" s="26"/>
      <c r="C23" s="26"/>
      <c r="D23" s="26"/>
      <c r="E23" s="26"/>
      <c r="F23" s="26"/>
      <c r="G23" s="26"/>
      <c r="H23" s="26"/>
      <c r="I23" s="26"/>
      <c r="J23" s="26"/>
    </row>
    <row r="24" customFormat="false" ht="147.75" hidden="false" customHeight="true" outlineLevel="0" collapsed="false">
      <c r="A24" s="28" t="s">
        <v>112</v>
      </c>
      <c r="B24" s="28"/>
      <c r="C24" s="28"/>
      <c r="D24" s="28"/>
      <c r="E24" s="28"/>
      <c r="F24" s="28"/>
      <c r="G24" s="28"/>
      <c r="H24" s="28"/>
      <c r="I24" s="28"/>
      <c r="J24" s="28"/>
    </row>
    <row r="25" customFormat="false" ht="14.25" hidden="false" customHeight="true" outlineLevel="0" collapsed="false">
      <c r="A25" s="29" t="s">
        <v>113</v>
      </c>
      <c r="B25" s="29"/>
      <c r="C25" s="29"/>
      <c r="D25" s="29"/>
      <c r="E25" s="29"/>
      <c r="F25" s="29"/>
      <c r="G25" s="29"/>
      <c r="H25" s="29"/>
      <c r="I25" s="29"/>
      <c r="J25" s="29"/>
    </row>
  </sheetData>
  <mergeCells count="9">
    <mergeCell ref="A1:J1"/>
    <mergeCell ref="A2:J2"/>
    <mergeCell ref="B6:D6"/>
    <mergeCell ref="A8:J8"/>
    <mergeCell ref="A21:J21"/>
    <mergeCell ref="A22:J22"/>
    <mergeCell ref="A23:J23"/>
    <mergeCell ref="A24:J24"/>
    <mergeCell ref="A25:J25"/>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9"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9"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6" activePane="bottomLeft" state="frozen"/>
      <selection pane="topLeft" activeCell="A1" activeCellId="0" sqref="A1"/>
      <selection pane="bottomLeft" activeCell="A7" activeCellId="0" sqref="A7"/>
    </sheetView>
  </sheetViews>
  <sheetFormatPr defaultColWidth="8.57031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30" t="s">
        <v>114</v>
      </c>
      <c r="B1" s="30"/>
      <c r="C1" s="30"/>
      <c r="D1" s="30"/>
      <c r="E1" s="30"/>
      <c r="F1" s="30"/>
      <c r="G1" s="30"/>
      <c r="H1" s="30"/>
      <c r="I1" s="30"/>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115</v>
      </c>
      <c r="B4" s="9" t="s">
        <v>2</v>
      </c>
      <c r="C4" s="9" t="s">
        <v>116</v>
      </c>
      <c r="D4" s="9" t="s">
        <v>117</v>
      </c>
      <c r="E4" s="9" t="s">
        <v>118</v>
      </c>
      <c r="F4" s="9" t="s">
        <v>119</v>
      </c>
      <c r="G4" s="9" t="s">
        <v>120</v>
      </c>
      <c r="H4" s="9" t="s">
        <v>121</v>
      </c>
      <c r="I4" s="9" t="s">
        <v>122</v>
      </c>
    </row>
    <row r="5" customFormat="false" ht="136.5" hidden="false" customHeight="true" outlineLevel="0" collapsed="false">
      <c r="A5" s="17" t="s">
        <v>123</v>
      </c>
      <c r="B5" s="18" t="s">
        <v>3</v>
      </c>
      <c r="C5" s="18" t="s">
        <v>124</v>
      </c>
      <c r="D5" s="31"/>
      <c r="E5" s="18"/>
      <c r="F5" s="32"/>
      <c r="G5" s="18"/>
      <c r="H5" s="18"/>
      <c r="I5" s="18"/>
    </row>
    <row r="6" customFormat="false" ht="42" hidden="false" customHeight="true" outlineLevel="0" collapsed="false">
      <c r="A6" s="17" t="s">
        <v>125</v>
      </c>
      <c r="B6" s="18" t="s">
        <v>3</v>
      </c>
      <c r="C6" s="18" t="s">
        <v>124</v>
      </c>
      <c r="D6" s="31"/>
      <c r="E6" s="32"/>
      <c r="F6" s="33"/>
      <c r="G6" s="33"/>
      <c r="H6" s="33"/>
      <c r="I6" s="33"/>
    </row>
    <row r="7" customFormat="false" ht="102.75" hidden="false" customHeight="true" outlineLevel="0" collapsed="false">
      <c r="A7" s="17" t="s">
        <v>126</v>
      </c>
      <c r="B7" s="18" t="s">
        <v>3</v>
      </c>
      <c r="C7" s="18" t="s">
        <v>124</v>
      </c>
      <c r="D7" s="34"/>
      <c r="E7" s="35"/>
      <c r="F7" s="35"/>
      <c r="G7" s="13"/>
      <c r="H7" s="13"/>
      <c r="I7" s="35"/>
    </row>
    <row r="8" customFormat="false" ht="30" hidden="false" customHeight="true" outlineLevel="0" collapsed="false">
      <c r="A8" s="36"/>
      <c r="B8" s="36"/>
      <c r="C8" s="36"/>
      <c r="D8" s="36"/>
      <c r="E8" s="37"/>
      <c r="F8" s="37"/>
      <c r="G8" s="37"/>
      <c r="H8" s="37"/>
      <c r="I8" s="37"/>
    </row>
    <row r="9" customFormat="false" ht="30" hidden="false" customHeight="true" outlineLevel="0" collapsed="false">
      <c r="A9" s="38"/>
      <c r="B9" s="38"/>
      <c r="C9" s="38"/>
      <c r="D9" s="38"/>
      <c r="E9" s="38"/>
      <c r="F9" s="38"/>
      <c r="G9" s="38"/>
      <c r="H9" s="38"/>
      <c r="I9" s="38"/>
    </row>
    <row r="10" customFormat="false" ht="30" hidden="false" customHeight="true" outlineLevel="0" collapsed="false">
      <c r="A10" s="36"/>
      <c r="B10" s="36"/>
      <c r="C10" s="36"/>
      <c r="D10" s="36"/>
      <c r="E10" s="36"/>
      <c r="F10" s="36"/>
      <c r="G10" s="36"/>
      <c r="H10" s="36"/>
      <c r="I10" s="36"/>
    </row>
    <row r="11" customFormat="false" ht="30" hidden="false" customHeight="true" outlineLevel="0" collapsed="false">
      <c r="A11" s="38"/>
      <c r="B11" s="38"/>
      <c r="C11" s="38"/>
      <c r="D11" s="38"/>
      <c r="E11" s="38"/>
      <c r="F11" s="38"/>
      <c r="G11" s="38"/>
      <c r="H11" s="38"/>
      <c r="I11" s="38"/>
    </row>
    <row r="12" customFormat="false" ht="30" hidden="false" customHeight="true" outlineLevel="0" collapsed="false">
      <c r="A12" s="36"/>
      <c r="B12" s="36"/>
      <c r="C12" s="36"/>
      <c r="D12" s="36"/>
      <c r="E12" s="36"/>
      <c r="F12" s="36"/>
      <c r="G12" s="36"/>
      <c r="H12" s="36"/>
      <c r="I12" s="36"/>
    </row>
    <row r="13" customFormat="false" ht="30" hidden="false" customHeight="true" outlineLevel="0" collapsed="false">
      <c r="A13" s="38"/>
      <c r="B13" s="38"/>
      <c r="C13" s="38"/>
      <c r="D13" s="38"/>
      <c r="E13" s="38"/>
      <c r="F13" s="38"/>
      <c r="G13" s="38"/>
      <c r="H13" s="38"/>
      <c r="I13" s="38"/>
    </row>
    <row r="14" customFormat="false" ht="30" hidden="false" customHeight="true" outlineLevel="0" collapsed="false">
      <c r="A14" s="36"/>
      <c r="B14" s="36"/>
      <c r="C14" s="36"/>
      <c r="D14" s="36"/>
      <c r="E14" s="36"/>
      <c r="F14" s="36"/>
      <c r="G14" s="36"/>
      <c r="H14" s="36"/>
      <c r="I14" s="36"/>
    </row>
    <row r="15" customFormat="false" ht="30" hidden="false" customHeight="true" outlineLevel="0" collapsed="false">
      <c r="A15" s="38"/>
      <c r="B15" s="38"/>
      <c r="C15" s="38"/>
      <c r="D15" s="38"/>
      <c r="E15" s="38"/>
      <c r="F15" s="38"/>
      <c r="G15" s="38"/>
      <c r="H15" s="38"/>
      <c r="I15" s="38"/>
    </row>
    <row r="16" customFormat="false" ht="30" hidden="false" customHeight="true" outlineLevel="0" collapsed="false">
      <c r="A16" s="36"/>
      <c r="B16" s="36"/>
      <c r="C16" s="36"/>
      <c r="D16" s="36"/>
      <c r="E16" s="36"/>
      <c r="F16" s="36"/>
      <c r="G16" s="36"/>
      <c r="H16" s="36"/>
      <c r="I16" s="36"/>
    </row>
    <row r="17" customFormat="false" ht="30" hidden="false" customHeight="true" outlineLevel="0" collapsed="false">
      <c r="A17" s="38"/>
      <c r="B17" s="38"/>
      <c r="C17" s="38"/>
      <c r="D17" s="38"/>
      <c r="E17" s="38"/>
      <c r="F17" s="38"/>
      <c r="G17" s="38"/>
      <c r="H17" s="38"/>
      <c r="I17" s="38"/>
    </row>
    <row r="18" customFormat="false" ht="30" hidden="false" customHeight="true" outlineLevel="0" collapsed="false">
      <c r="A18" s="36"/>
      <c r="B18" s="36"/>
      <c r="C18" s="36"/>
      <c r="D18" s="36"/>
      <c r="E18" s="36"/>
      <c r="F18" s="36"/>
      <c r="G18" s="36"/>
      <c r="H18" s="36"/>
      <c r="I18" s="36"/>
    </row>
    <row r="19" customFormat="false" ht="30" hidden="false" customHeight="true" outlineLevel="0" collapsed="false">
      <c r="A19" s="38"/>
      <c r="B19" s="38"/>
      <c r="C19" s="38"/>
      <c r="D19" s="38"/>
      <c r="E19" s="38"/>
      <c r="F19" s="38"/>
      <c r="G19" s="38"/>
      <c r="H19" s="38"/>
      <c r="I19" s="38"/>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7" activePane="bottomLeft" state="frozen"/>
      <selection pane="topLeft" activeCell="A1" activeCellId="0" sqref="A1"/>
      <selection pane="bottomLeft" activeCell="E13" activeCellId="0" sqref="E13"/>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30" t="s">
        <v>127</v>
      </c>
      <c r="B1" s="30"/>
      <c r="C1" s="30"/>
      <c r="D1" s="30"/>
      <c r="E1" s="30"/>
      <c r="F1" s="30"/>
      <c r="G1" s="30"/>
      <c r="H1" s="30"/>
      <c r="I1" s="30"/>
    </row>
    <row r="2" customFormat="false" ht="14.25" hidden="false" customHeight="true" outlineLevel="0" collapsed="false">
      <c r="A2" s="39" t="s">
        <v>128</v>
      </c>
      <c r="B2" s="39"/>
      <c r="C2" s="39"/>
      <c r="D2" s="39"/>
      <c r="E2" s="39"/>
      <c r="F2" s="39"/>
      <c r="G2" s="39"/>
      <c r="H2" s="39"/>
      <c r="I2" s="39"/>
    </row>
    <row r="3" customFormat="false" ht="18" hidden="false" customHeight="true" outlineLevel="0" collapsed="false">
      <c r="A3" s="40" t="s">
        <v>129</v>
      </c>
      <c r="B3" s="41" t="s">
        <v>130</v>
      </c>
      <c r="C3" s="41"/>
      <c r="D3" s="42" t="s">
        <v>131</v>
      </c>
      <c r="E3" s="41" t="s">
        <v>132</v>
      </c>
      <c r="F3" s="41"/>
      <c r="G3" s="43" t="s">
        <v>133</v>
      </c>
      <c r="H3" s="41" t="s">
        <v>134</v>
      </c>
      <c r="I3" s="41"/>
    </row>
    <row r="5" customFormat="false" ht="27.75" hidden="false" customHeight="true" outlineLevel="0" collapsed="false">
      <c r="A5" s="9" t="s">
        <v>135</v>
      </c>
      <c r="B5" s="9" t="s">
        <v>2</v>
      </c>
      <c r="C5" s="9" t="s">
        <v>14</v>
      </c>
      <c r="D5" s="9" t="s">
        <v>136</v>
      </c>
      <c r="E5" s="9" t="s">
        <v>137</v>
      </c>
      <c r="F5" s="9" t="s">
        <v>138</v>
      </c>
      <c r="G5" s="9" t="s">
        <v>139</v>
      </c>
      <c r="H5" s="9" t="s">
        <v>140</v>
      </c>
      <c r="I5" s="9" t="s">
        <v>141</v>
      </c>
    </row>
    <row r="6" customFormat="false" ht="27.75" hidden="false" customHeight="true" outlineLevel="0" collapsed="false">
      <c r="A6" s="44" t="n">
        <v>46265</v>
      </c>
      <c r="B6" s="18" t="s">
        <v>3</v>
      </c>
      <c r="C6" s="45" t="s">
        <v>24</v>
      </c>
      <c r="D6" s="46" t="s">
        <v>142</v>
      </c>
      <c r="E6" s="47"/>
      <c r="F6" s="47"/>
      <c r="G6" s="47"/>
      <c r="H6" s="47"/>
      <c r="I6" s="47"/>
    </row>
    <row r="7" customFormat="false" ht="54.75" hidden="false" customHeight="true" outlineLevel="0" collapsed="false">
      <c r="A7" s="44" t="n">
        <v>46266</v>
      </c>
      <c r="B7" s="18" t="s">
        <v>3</v>
      </c>
      <c r="C7" s="48" t="s">
        <v>34</v>
      </c>
      <c r="D7" s="49" t="s">
        <v>36</v>
      </c>
      <c r="E7" s="36"/>
      <c r="F7" s="36"/>
      <c r="G7" s="36"/>
      <c r="H7" s="36"/>
      <c r="I7" s="36"/>
    </row>
    <row r="8" customFormat="false" ht="30" hidden="false" customHeight="true" outlineLevel="0" collapsed="false">
      <c r="A8" s="44" t="n">
        <v>46266</v>
      </c>
      <c r="B8" s="18" t="s">
        <v>3</v>
      </c>
      <c r="C8" s="18" t="s">
        <v>44</v>
      </c>
      <c r="D8" s="18" t="s">
        <v>46</v>
      </c>
      <c r="E8" s="18"/>
      <c r="F8" s="18"/>
      <c r="G8" s="18"/>
      <c r="H8" s="18"/>
      <c r="I8" s="18"/>
    </row>
    <row r="9" customFormat="false" ht="30" hidden="false" customHeight="true" outlineLevel="0" collapsed="false">
      <c r="A9" s="44" t="n">
        <v>46266</v>
      </c>
      <c r="B9" s="18" t="s">
        <v>3</v>
      </c>
      <c r="C9" s="18" t="s">
        <v>54</v>
      </c>
      <c r="D9" s="18" t="s">
        <v>56</v>
      </c>
      <c r="E9" s="18"/>
      <c r="F9" s="18"/>
      <c r="G9" s="18"/>
      <c r="H9" s="18"/>
      <c r="I9" s="18"/>
    </row>
    <row r="10" customFormat="false" ht="30" hidden="false" customHeight="true" outlineLevel="0" collapsed="false">
      <c r="A10" s="44" t="n">
        <v>46266</v>
      </c>
      <c r="B10" s="18" t="s">
        <v>3</v>
      </c>
      <c r="C10" s="18" t="s">
        <v>72</v>
      </c>
      <c r="D10" s="18" t="s">
        <v>74</v>
      </c>
      <c r="E10" s="18"/>
      <c r="F10" s="18"/>
      <c r="G10" s="18"/>
      <c r="H10" s="18"/>
      <c r="I10" s="18"/>
    </row>
    <row r="11" customFormat="false" ht="30" hidden="false" customHeight="true" outlineLevel="0" collapsed="false">
      <c r="A11" s="44" t="n">
        <v>46266</v>
      </c>
      <c r="B11" s="18" t="s">
        <v>3</v>
      </c>
      <c r="C11" s="50" t="s">
        <v>63</v>
      </c>
      <c r="D11" s="18" t="s">
        <v>65</v>
      </c>
      <c r="E11" s="38"/>
      <c r="F11" s="38"/>
      <c r="G11" s="38"/>
      <c r="H11" s="38"/>
      <c r="I11" s="38"/>
    </row>
    <row r="12" customFormat="false" ht="30" hidden="false" customHeight="true" outlineLevel="0" collapsed="false">
      <c r="A12" s="44" t="n">
        <v>46266</v>
      </c>
      <c r="B12" s="48" t="s">
        <v>3</v>
      </c>
      <c r="C12" s="48" t="s">
        <v>143</v>
      </c>
      <c r="D12" s="18" t="s">
        <v>103</v>
      </c>
      <c r="E12" s="36"/>
      <c r="F12" s="36"/>
      <c r="G12" s="36"/>
      <c r="H12" s="36"/>
      <c r="I12" s="36"/>
    </row>
    <row r="13" customFormat="false" ht="30" hidden="false" customHeight="true" outlineLevel="0" collapsed="false">
      <c r="A13" s="44" t="n">
        <v>46266</v>
      </c>
      <c r="B13" s="48" t="s">
        <v>3</v>
      </c>
      <c r="C13" s="48" t="s">
        <v>91</v>
      </c>
      <c r="D13" s="38"/>
      <c r="E13" s="38"/>
      <c r="F13" s="38"/>
      <c r="G13" s="38"/>
      <c r="H13" s="38"/>
      <c r="I13" s="38"/>
    </row>
    <row r="14" customFormat="false" ht="30" hidden="false" customHeight="true" outlineLevel="0" collapsed="false">
      <c r="A14" s="36"/>
      <c r="B14" s="48"/>
      <c r="C14" s="48"/>
      <c r="D14" s="36"/>
      <c r="E14" s="36"/>
      <c r="F14" s="36"/>
      <c r="G14" s="36"/>
      <c r="H14" s="36"/>
      <c r="I14" s="36"/>
    </row>
    <row r="15" customFormat="false" ht="30" hidden="false" customHeight="true" outlineLevel="0" collapsed="false">
      <c r="A15" s="38"/>
      <c r="B15" s="38"/>
      <c r="C15" s="50"/>
      <c r="D15" s="38"/>
      <c r="E15" s="38"/>
      <c r="F15" s="38"/>
      <c r="G15" s="38"/>
      <c r="H15" s="38"/>
      <c r="I15" s="38"/>
    </row>
    <row r="16" customFormat="false" ht="25.5" hidden="false" customHeight="true" outlineLevel="0" collapsed="false">
      <c r="A16" s="36"/>
      <c r="B16" s="48"/>
      <c r="C16" s="48"/>
      <c r="D16" s="36"/>
      <c r="E16" s="36"/>
      <c r="F16" s="36"/>
      <c r="G16" s="36"/>
      <c r="H16" s="36"/>
      <c r="I16" s="36"/>
    </row>
    <row r="17" customFormat="false" ht="25.5" hidden="false" customHeight="true" outlineLevel="0" collapsed="false">
      <c r="A17" s="38"/>
      <c r="B17" s="38"/>
      <c r="C17" s="50"/>
      <c r="D17" s="38"/>
      <c r="E17" s="38"/>
      <c r="F17" s="38"/>
      <c r="G17" s="38"/>
      <c r="H17" s="38"/>
      <c r="I17" s="38"/>
    </row>
    <row r="18" customFormat="false" ht="25.5" hidden="false" customHeight="true" outlineLevel="0" collapsed="false">
      <c r="A18" s="36"/>
      <c r="B18" s="48"/>
      <c r="C18" s="48"/>
      <c r="D18" s="36"/>
      <c r="E18" s="36"/>
      <c r="F18" s="36"/>
      <c r="G18" s="36"/>
      <c r="H18" s="36"/>
      <c r="I18" s="36"/>
    </row>
    <row r="19" customFormat="false" ht="25.5" hidden="false" customHeight="true" outlineLevel="0" collapsed="false">
      <c r="A19" s="38"/>
      <c r="B19" s="38"/>
      <c r="C19" s="50"/>
      <c r="D19" s="38"/>
      <c r="E19" s="38"/>
      <c r="F19" s="38"/>
      <c r="G19" s="38"/>
      <c r="H19" s="38"/>
      <c r="I19" s="38"/>
    </row>
    <row r="20" customFormat="false" ht="25.5" hidden="false" customHeight="true" outlineLevel="0" collapsed="false"/>
    <row r="21" customFormat="false" ht="25.5" hidden="false" customHeight="true" outlineLevel="0" collapsed="false">
      <c r="C21" s="51" t="s">
        <v>144</v>
      </c>
      <c r="D21" s="52" t="n">
        <f aca="false">COUNTIF($F$8:$F$19,"Green")</f>
        <v>0</v>
      </c>
      <c r="E21" s="53" t="n">
        <f aca="false">COUNTIF($F$8:$F$19,"Amber")</f>
        <v>0</v>
      </c>
      <c r="F21" s="54" t="n">
        <f aca="false">COUNTIF($F$8:$F$19,"Red")</f>
        <v>0</v>
      </c>
    </row>
    <row r="22" customFormat="false" ht="25.5" hidden="false" customHeight="true" outlineLevel="0" collapsed="false">
      <c r="D22" s="55" t="s">
        <v>145</v>
      </c>
      <c r="E22" s="55" t="s">
        <v>146</v>
      </c>
      <c r="F22" s="55" t="s">
        <v>147</v>
      </c>
    </row>
    <row r="23" customFormat="false" ht="25.5" hidden="false" customHeight="true" outlineLevel="0" collapsed="false"/>
    <row r="24" customFormat="false" ht="25.5" hidden="false" customHeight="true" outlineLevel="0" collapsed="false"/>
    <row r="25" customFormat="false" ht="25.5" hidden="false" customHeight="true" outlineLevel="0" collapsed="false"/>
    <row r="26" customFormat="false" ht="25.5" hidden="false" customHeight="true" outlineLevel="0" collapsed="false"/>
    <row r="27" customFormat="false" ht="25.5" hidden="false" customHeight="true" outlineLevel="0" collapsed="false"/>
  </sheetData>
  <mergeCells count="5">
    <mergeCell ref="A1:I1"/>
    <mergeCell ref="A2:I2"/>
    <mergeCell ref="B3:C3"/>
    <mergeCell ref="E3:F3"/>
    <mergeCell ref="H3:I3"/>
  </mergeCells>
  <conditionalFormatting sqref="F7:F27">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7" type="list">
      <formula1>"BUILD,GROW,LAUNCH"</formula1>
      <formula2>0</formula2>
    </dataValidation>
    <dataValidation allowBlank="true" error="Pick a value from the list." errorStyle="stop" errorTitle="Choose from the list" operator="between" showDropDown="false" showErrorMessage="false" showInputMessage="false" sqref="C7:C27"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7:F27" type="list">
      <formula1>"Green,Amber,Red"</formula1>
      <formula2>0</formula2>
    </dataValidation>
    <dataValidation allowBlank="true" error="Pick a value from the list." errorStyle="stop" errorTitle="Choose from the list" operator="between" showDropDown="false" showErrorMessage="false" showInputMessage="false" sqref="H7:H27"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Hanna Kemp</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