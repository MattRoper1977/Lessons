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Weekly Plan" sheetId="1" state="visible" r:id="rId1"/>
    <sheet name="Students" sheetId="2" state="visible" r:id="rId2"/>
    <sheet name="Outcomes RAG"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d\-mmm\-yy"/>
  </numFmts>
  <fonts count="2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8"/>
    </font>
    <font>
      <name val="Arial"/>
      <charset val="1"/>
      <family val="0"/>
      <color rgb="FF566159"/>
      <sz val="10"/>
    </font>
    <font>
      <name val="Arial"/>
      <charset val="1"/>
      <family val="0"/>
      <b val="1"/>
      <color rgb="FF566159"/>
      <sz val="9"/>
    </font>
    <font>
      <name val="Arial"/>
      <charset val="1"/>
      <family val="0"/>
      <b val="1"/>
      <color rgb="FF1B2420"/>
      <sz val="10"/>
    </font>
    <font>
      <name val="Arial"/>
      <charset val="1"/>
      <family val="0"/>
      <b val="1"/>
      <color rgb="FF2E7D4F"/>
      <sz val="10"/>
    </font>
    <font>
      <name val="Arial"/>
      <charset val="1"/>
      <family val="0"/>
      <color rgb="FF2E2A5D"/>
      <sz val="9"/>
    </font>
    <font>
      <name val="Arial"/>
      <charset val="1"/>
      <family val="0"/>
      <b val="1"/>
      <color rgb="FFFFFFFF"/>
      <sz val="9"/>
    </font>
    <font>
      <name val="Arial"/>
      <charset val="1"/>
      <family val="0"/>
      <b val="1"/>
      <color rgb="FF1B2420"/>
      <sz val="9"/>
    </font>
    <font>
      <name val="Arial"/>
      <charset val="1"/>
      <family val="2"/>
      <color rgb="FF000000"/>
      <sz val="9"/>
    </font>
    <font>
      <name val="Aptos"/>
      <charset val="1"/>
      <family val="2"/>
      <color rgb="FF000000"/>
      <sz val="10"/>
    </font>
    <font>
      <name val="Arial"/>
      <charset val="1"/>
      <family val="0"/>
      <color rgb="FF1B2420"/>
      <sz val="9"/>
    </font>
    <font>
      <name val="Arial"/>
      <charset val="1"/>
      <family val="2"/>
      <color theme="1"/>
      <sz val="9"/>
    </font>
    <font>
      <name val="Aptos"/>
      <charset val="1"/>
      <family val="2"/>
      <color rgb="FF222222"/>
      <sz val="9"/>
    </font>
    <font>
      <name val="Arial"/>
      <charset val="1"/>
      <family val="2"/>
      <color rgb="FF1B2420"/>
      <sz val="9"/>
    </font>
    <font>
      <name val="Arial"/>
      <charset val="1"/>
      <family val="0"/>
      <i val="1"/>
      <color rgb="FF566159"/>
      <sz val="8"/>
    </font>
    <font>
      <name val="Arial"/>
      <charset val="1"/>
      <family val="0"/>
      <b val="1"/>
      <color rgb="FFFFFFFF"/>
      <sz val="16"/>
    </font>
    <font>
      <name val="Arial"/>
      <charset val="1"/>
      <family val="0"/>
      <color theme="1"/>
      <sz val="9"/>
    </font>
    <font>
      <name val="Calibri"/>
      <charset val="1"/>
      <family val="2"/>
      <b val="1"/>
      <color theme="1"/>
      <sz val="11"/>
    </font>
    <font>
      <name val="Arial"/>
      <charset val="1"/>
      <family val="2"/>
      <b val="1"/>
      <color rgb="FFFFFFFF"/>
      <sz val="16"/>
    </font>
    <font>
      <name val="Arial"/>
      <charset val="1"/>
      <family val="2"/>
      <sz val="10"/>
    </font>
    <font>
      <name val="Arial"/>
      <charset val="1"/>
      <family val="2"/>
      <sz val="9"/>
    </font>
    <font>
      <name val="Arial"/>
      <charset val="1"/>
      <family val="0"/>
      <b val="1"/>
      <color rgb="FFFFFFFF"/>
      <sz val="10"/>
    </font>
    <font>
      <name val="Arial"/>
      <charset val="1"/>
      <family val="0"/>
      <color rgb="FF566159"/>
      <sz val="8"/>
    </font>
  </fonts>
  <fills count="10">
    <fill>
      <patternFill/>
    </fill>
    <fill>
      <patternFill patternType="gray125"/>
    </fill>
    <fill>
      <patternFill patternType="solid">
        <fgColor rgb="FFD6006E"/>
        <bgColor rgb="FF800080"/>
      </patternFill>
    </fill>
    <fill>
      <patternFill patternType="solid">
        <fgColor rgb="FFFBE3F0"/>
        <bgColor rgb="FFEFE9F2"/>
      </patternFill>
    </fill>
    <fill>
      <patternFill patternType="solid">
        <fgColor rgb="FFEFE9F2"/>
        <bgColor rgb="FFFBE3F0"/>
      </patternFill>
    </fill>
    <fill>
      <patternFill patternType="solid">
        <fgColor rgb="FFFFFFFF"/>
        <bgColor rgb="FFF4F7F3"/>
      </patternFill>
    </fill>
    <fill>
      <patternFill patternType="solid">
        <fgColor rgb="FFF4F7F3"/>
        <bgColor rgb="FFFFFFFF"/>
      </patternFill>
    </fill>
    <fill>
      <patternFill patternType="solid">
        <fgColor rgb="FF2E7D4F"/>
        <bgColor rgb="FF1F6F7A"/>
      </patternFill>
    </fill>
    <fill>
      <patternFill patternType="solid">
        <fgColor rgb="FFD9A227"/>
        <bgColor rgb="FFB8742A"/>
      </patternFill>
    </fill>
    <fill>
      <patternFill patternType="solid">
        <fgColor rgb="FFC0392B"/>
        <bgColor rgb="FF993366"/>
      </patternFill>
    </fill>
  </fills>
  <borders count="13">
    <border>
      <left/>
      <right/>
      <top/>
      <bottom/>
      <diagonal/>
    </border>
    <border>
      <left/>
      <right/>
      <top/>
      <bottom style="thin">
        <color rgb="FFC3CDC1"/>
      </bottom>
      <diagonal/>
    </border>
    <border>
      <left style="thin">
        <color rgb="FFC9C9D6"/>
      </left>
      <right style="thin">
        <color rgb="FFC9C9D6"/>
      </right>
      <top style="thin">
        <color rgb="FFC9C9D6"/>
      </top>
      <bottom style="thin">
        <color rgb="FFC9C9D6"/>
      </bottom>
      <diagonal/>
    </border>
    <border>
      <left style="thin">
        <color rgb="FFC3CDC1"/>
      </left>
      <right style="thin">
        <color rgb="FFC3CDC1"/>
      </right>
      <top style="thin">
        <color rgb="FFC3CDC1"/>
      </top>
      <bottom style="thin">
        <color rgb="FFC3CDC1"/>
      </bottom>
      <diagonal/>
    </border>
    <border>
      <left style="thin"/>
      <right style="thin"/>
      <top style="thin"/>
      <bottom style="thin"/>
      <diagonal/>
    </border>
    <border>
      <left/>
      <right/>
      <top style="thin">
        <color rgb="FFC9C9D6"/>
      </top>
      <bottom/>
      <diagonal/>
    </border>
    <border>
      <left/>
      <right style="thin">
        <color rgb="FFC9C9D6"/>
      </right>
      <top style="thin">
        <color rgb="FFC9C9D6"/>
      </top>
      <bottom/>
      <diagonal/>
    </border>
    <border>
      <left/>
      <right/>
      <top style="thin">
        <color rgb="FFC9C9D6"/>
      </top>
      <bottom style="thin">
        <color rgb="FFC9C9D6"/>
      </bottom>
      <diagonal/>
    </border>
    <border>
      <left/>
      <right style="thin">
        <color rgb="FFC9C9D6"/>
      </right>
      <top style="thin">
        <color rgb="FFC9C9D6"/>
      </top>
      <bottom style="thin">
        <color rgb="FFC9C9D6"/>
      </bottom>
      <diagonal/>
    </border>
    <border>
      <left/>
      <right/>
      <top style="thin">
        <color rgb="FFC3CDC1"/>
      </top>
      <bottom/>
      <diagonal/>
    </border>
    <border>
      <left/>
      <right style="thin">
        <color rgb="FFC3CDC1"/>
      </right>
      <top style="thin">
        <color rgb="FFC3CDC1"/>
      </top>
      <bottom/>
      <diagonal/>
    </border>
    <border>
      <left/>
      <right/>
      <top style="thin">
        <color rgb="FFC3CDC1"/>
      </top>
      <bottom style="thin">
        <color rgb="FFC3CDC1"/>
      </bottom>
      <diagonal/>
    </border>
    <border>
      <left/>
      <right style="thin">
        <color rgb="FFC3CDC1"/>
      </right>
      <top style="thin">
        <color rgb="FFC3CDC1"/>
      </top>
      <bottom style="thin">
        <color rgb="FFC3CDC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0" borderId="0" applyAlignment="1" pivotButton="0" quotePrefix="0" xfId="0">
      <alignment horizontal="left" vertical="center"/>
    </xf>
    <xf numFmtId="0" fontId="6" fillId="3" borderId="0" applyAlignment="1" pivotButton="0" quotePrefix="0" xfId="0">
      <alignment horizontal="left" vertical="center"/>
    </xf>
    <xf numFmtId="0" fontId="7" fillId="0" borderId="1" applyAlignment="1" pivotButton="0" quotePrefix="0" xfId="0">
      <alignment horizontal="left" vertical="center"/>
    </xf>
    <xf numFmtId="0" fontId="8" fillId="0" borderId="1" applyAlignment="1" pivotButton="0" quotePrefix="0" xfId="0">
      <alignment horizontal="left" vertical="center"/>
    </xf>
    <xf numFmtId="164" fontId="7" fillId="0" borderId="1" applyAlignment="1" pivotButton="0" quotePrefix="0" xfId="0">
      <alignment horizontal="left" vertical="center"/>
    </xf>
    <xf numFmtId="0" fontId="9" fillId="4" borderId="2" applyAlignment="1" pivotButton="0" quotePrefix="0" xfId="0">
      <alignment horizontal="general" vertical="top" wrapText="1"/>
    </xf>
    <xf numFmtId="0" fontId="10" fillId="2" borderId="3" applyAlignment="1" pivotButton="0" quotePrefix="0" xfId="0">
      <alignment horizontal="center" vertical="center" wrapText="1"/>
    </xf>
    <xf numFmtId="0" fontId="11" fillId="5" borderId="3" applyAlignment="1" pivotButton="0" quotePrefix="0" xfId="0">
      <alignment horizontal="left" vertical="center" wrapText="1"/>
    </xf>
    <xf numFmtId="0" fontId="12" fillId="5" borderId="4" applyAlignment="1" pivotButton="0" quotePrefix="0" xfId="0">
      <alignment horizontal="general" vertical="bottom" wrapText="1"/>
    </xf>
    <xf numFmtId="0" fontId="13" fillId="5" borderId="4" applyAlignment="1" pivotButton="0" quotePrefix="0" xfId="0">
      <alignment horizontal="general" vertical="bottom" wrapText="1"/>
    </xf>
    <xf numFmtId="0" fontId="14" fillId="5" borderId="3" applyAlignment="1" pivotButton="0" quotePrefix="0" xfId="0">
      <alignment horizontal="left" vertical="center" wrapText="1"/>
    </xf>
    <xf numFmtId="0" fontId="11" fillId="6" borderId="3" applyAlignment="1" pivotButton="0" quotePrefix="0" xfId="0">
      <alignment horizontal="left" vertical="center" wrapText="1"/>
    </xf>
    <xf numFmtId="0" fontId="14" fillId="6" borderId="3" applyAlignment="1" pivotButton="0" quotePrefix="0" xfId="0">
      <alignment horizontal="left" vertical="center" wrapText="1"/>
    </xf>
    <xf numFmtId="0" fontId="15" fillId="6" borderId="3" applyAlignment="1" pivotButton="0" quotePrefix="0" xfId="0">
      <alignment horizontal="left" vertical="center" wrapText="1"/>
    </xf>
    <xf numFmtId="0" fontId="16" fillId="5" borderId="4" applyAlignment="1" pivotButton="0" quotePrefix="0" xfId="0">
      <alignment horizontal="left" vertical="top" wrapText="1"/>
    </xf>
    <xf numFmtId="0" fontId="10" fillId="2" borderId="0" applyAlignment="1" pivotButton="0" quotePrefix="0" xfId="0">
      <alignment horizontal="left" vertical="center"/>
    </xf>
    <xf numFmtId="0" fontId="14" fillId="6" borderId="3" applyAlignment="1" pivotButton="0" quotePrefix="0" xfId="0">
      <alignment horizontal="general" vertical="top" wrapText="1"/>
    </xf>
    <xf numFmtId="0" fontId="17" fillId="6" borderId="3" applyAlignment="1" pivotButton="0" quotePrefix="0" xfId="0">
      <alignment horizontal="general" vertical="top" wrapText="1"/>
    </xf>
    <xf numFmtId="0" fontId="18" fillId="0" borderId="0" applyAlignment="1" pivotButton="0" quotePrefix="0" xfId="0">
      <alignment horizontal="left" vertical="center"/>
    </xf>
    <xf numFmtId="0" fontId="19" fillId="2" borderId="0" applyAlignment="1" pivotButton="0" quotePrefix="0" xfId="0">
      <alignment horizontal="left" vertical="center"/>
    </xf>
    <xf numFmtId="49" fontId="14" fillId="5" borderId="3" applyAlignment="1" pivotButton="0" quotePrefix="0" xfId="0">
      <alignment horizontal="left" vertical="center" wrapText="1"/>
    </xf>
    <xf numFmtId="0" fontId="20" fillId="0" borderId="0" applyAlignment="1" pivotButton="0" quotePrefix="0" xfId="0">
      <alignment horizontal="general" vertical="bottom" wrapText="1"/>
    </xf>
    <xf numFmtId="49" fontId="14" fillId="6" borderId="3" applyAlignment="1" pivotButton="0" quotePrefix="0" xfId="0">
      <alignment horizontal="left" vertical="center" wrapText="1"/>
    </xf>
    <xf numFmtId="0" fontId="21" fillId="6" borderId="3" applyAlignment="1" pivotButton="0" quotePrefix="0" xfId="0">
      <alignment horizontal="left" vertical="center" wrapText="1"/>
    </xf>
    <xf numFmtId="0" fontId="0" fillId="6" borderId="3" applyAlignment="1" pivotButton="0" quotePrefix="0" xfId="0">
      <alignment horizontal="left" vertical="center" wrapText="1"/>
    </xf>
    <xf numFmtId="49" fontId="0" fillId="6" borderId="3" applyAlignment="1" pivotButton="0" quotePrefix="0" xfId="0">
      <alignment horizontal="left" vertical="center" wrapText="1"/>
    </xf>
    <xf numFmtId="0" fontId="0" fillId="0" borderId="0" applyAlignment="1" pivotButton="0" quotePrefix="0" xfId="0">
      <alignment horizontal="general" vertical="center" wrapText="1"/>
    </xf>
    <xf numFmtId="0" fontId="0" fillId="6" borderId="3" applyAlignment="1" pivotButton="0" quotePrefix="0" xfId="0">
      <alignment horizontal="left" vertical="center" wrapText="1"/>
    </xf>
    <xf numFmtId="0" fontId="0" fillId="5" borderId="3" applyAlignment="1" pivotButton="0" quotePrefix="0" xfId="0">
      <alignment horizontal="left" vertical="center" wrapText="1"/>
    </xf>
    <xf numFmtId="0" fontId="22" fillId="2" borderId="0" applyAlignment="1" pivotButton="0" quotePrefix="0" xfId="0">
      <alignment horizontal="left" vertical="center"/>
    </xf>
    <xf numFmtId="0" fontId="23" fillId="0" borderId="0" applyAlignment="1" pivotButton="0" quotePrefix="0" xfId="0">
      <alignment horizontal="left" vertical="center"/>
    </xf>
    <xf numFmtId="0" fontId="10" fillId="7" borderId="0" applyAlignment="1" pivotButton="0" quotePrefix="0" xfId="0">
      <alignment horizontal="center" vertical="center"/>
    </xf>
    <xf numFmtId="0" fontId="24" fillId="0" borderId="0" applyAlignment="1" pivotButton="0" quotePrefix="0" xfId="0">
      <alignment horizontal="left" vertical="center"/>
    </xf>
    <xf numFmtId="0" fontId="10" fillId="8" borderId="0" applyAlignment="1" pivotButton="0" quotePrefix="0" xfId="0">
      <alignment horizontal="center" vertical="center"/>
    </xf>
    <xf numFmtId="0" fontId="10" fillId="9" borderId="0" applyAlignment="1" pivotButton="0" quotePrefix="0" xfId="0">
      <alignment horizontal="center" vertical="center"/>
    </xf>
    <xf numFmtId="164" fontId="11" fillId="5" borderId="3" applyAlignment="1" pivotButton="0" quotePrefix="0" xfId="0">
      <alignment horizontal="left" vertical="center" wrapText="1"/>
    </xf>
    <xf numFmtId="0" fontId="0" fillId="5" borderId="3" applyAlignment="1" pivotButton="0" quotePrefix="0" xfId="0">
      <alignment horizontal="left" vertical="center" wrapText="1"/>
    </xf>
    <xf numFmtId="0" fontId="6" fillId="0" borderId="0" applyAlignment="1" pivotButton="0" quotePrefix="0" xfId="0">
      <alignment horizontal="general" vertical="bottom"/>
    </xf>
    <xf numFmtId="0" fontId="25" fillId="7" borderId="0" applyAlignment="1" pivotButton="0" quotePrefix="0" xfId="0">
      <alignment horizontal="center" vertical="center"/>
    </xf>
    <xf numFmtId="0" fontId="25" fillId="8" borderId="0" applyAlignment="1" pivotButton="0" quotePrefix="0" xfId="0">
      <alignment horizontal="center" vertical="center"/>
    </xf>
    <xf numFmtId="0" fontId="25" fillId="9" borderId="0" applyAlignment="1" pivotButton="0" quotePrefix="0" xfId="0">
      <alignment horizontal="center" vertical="center"/>
    </xf>
    <xf numFmtId="0" fontId="26" fillId="0" borderId="0"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0" borderId="0" applyAlignment="1" pivotButton="0" quotePrefix="0" xfId="0">
      <alignment horizontal="left" vertical="center"/>
    </xf>
    <xf numFmtId="0" fontId="6" fillId="3" borderId="0" applyAlignment="1" pivotButton="0" quotePrefix="0" xfId="0">
      <alignment horizontal="left" vertical="center"/>
    </xf>
    <xf numFmtId="0" fontId="7" fillId="0" borderId="1" applyAlignment="1" pivotButton="0" quotePrefix="0" xfId="0">
      <alignment horizontal="left" vertical="center"/>
    </xf>
    <xf numFmtId="0" fontId="8" fillId="0" borderId="1" applyAlignment="1" pivotButton="0" quotePrefix="0" xfId="0">
      <alignment horizontal="left" vertical="center"/>
    </xf>
    <xf numFmtId="0" fontId="0" fillId="0" borderId="1" pivotButton="0" quotePrefix="0" xfId="0"/>
    <xf numFmtId="164" fontId="7" fillId="0" borderId="1" applyAlignment="1" pivotButton="0" quotePrefix="0" xfId="0">
      <alignment horizontal="left" vertical="center"/>
    </xf>
    <xf numFmtId="0" fontId="9" fillId="4" borderId="2" applyAlignment="1" pivotButton="0" quotePrefix="0" xfId="0">
      <alignment horizontal="general" vertical="top" wrapText="1"/>
    </xf>
    <xf numFmtId="0" fontId="0" fillId="0" borderId="7" pivotButton="0" quotePrefix="0" xfId="0"/>
    <xf numFmtId="0" fontId="0" fillId="0" borderId="8" pivotButton="0" quotePrefix="0" xfId="0"/>
    <xf numFmtId="0" fontId="10" fillId="2" borderId="3" applyAlignment="1" pivotButton="0" quotePrefix="0" xfId="0">
      <alignment horizontal="center" vertical="center" wrapText="1"/>
    </xf>
    <xf numFmtId="0" fontId="11" fillId="5" borderId="3" applyAlignment="1" pivotButton="0" quotePrefix="0" xfId="0">
      <alignment horizontal="left" vertical="center" wrapText="1"/>
    </xf>
    <xf numFmtId="0" fontId="12" fillId="5" borderId="4" applyAlignment="1" pivotButton="0" quotePrefix="0" xfId="0">
      <alignment horizontal="general" vertical="bottom" wrapText="1"/>
    </xf>
    <xf numFmtId="0" fontId="13" fillId="5" borderId="4" applyAlignment="1" pivotButton="0" quotePrefix="0" xfId="0">
      <alignment horizontal="general" vertical="bottom" wrapText="1"/>
    </xf>
    <xf numFmtId="0" fontId="14" fillId="5" borderId="3" applyAlignment="1" pivotButton="0" quotePrefix="0" xfId="0">
      <alignment horizontal="left" vertical="center" wrapText="1"/>
    </xf>
    <xf numFmtId="0" fontId="11" fillId="6" borderId="3" applyAlignment="1" pivotButton="0" quotePrefix="0" xfId="0">
      <alignment horizontal="left" vertical="center" wrapText="1"/>
    </xf>
    <xf numFmtId="0" fontId="14" fillId="6" borderId="3" applyAlignment="1" pivotButton="0" quotePrefix="0" xfId="0">
      <alignment horizontal="left" vertical="center" wrapText="1"/>
    </xf>
    <xf numFmtId="0" fontId="15" fillId="6" borderId="3" applyAlignment="1" pivotButton="0" quotePrefix="0" xfId="0">
      <alignment horizontal="left" vertical="center" wrapText="1"/>
    </xf>
    <xf numFmtId="0" fontId="16" fillId="5" borderId="4" applyAlignment="1" pivotButton="0" quotePrefix="0" xfId="0">
      <alignment horizontal="left" vertical="top" wrapText="1"/>
    </xf>
    <xf numFmtId="0" fontId="10" fillId="2" borderId="0" applyAlignment="1" pivotButton="0" quotePrefix="0" xfId="0">
      <alignment horizontal="left" vertical="center"/>
    </xf>
    <xf numFmtId="0" fontId="14" fillId="6" borderId="3" applyAlignment="1" pivotButton="0" quotePrefix="0" xfId="0">
      <alignment horizontal="general" vertical="top" wrapText="1"/>
    </xf>
    <xf numFmtId="0" fontId="0" fillId="0" borderId="11" pivotButton="0" quotePrefix="0" xfId="0"/>
    <xf numFmtId="0" fontId="0" fillId="0" borderId="12" pivotButton="0" quotePrefix="0" xfId="0"/>
    <xf numFmtId="0" fontId="17" fillId="6" borderId="3" applyAlignment="1" pivotButton="0" quotePrefix="0" xfId="0">
      <alignment horizontal="general" vertical="top" wrapText="1"/>
    </xf>
    <xf numFmtId="0" fontId="18" fillId="0" borderId="0" applyAlignment="1" pivotButton="0" quotePrefix="0" xfId="0">
      <alignment horizontal="left" vertical="center"/>
    </xf>
    <xf numFmtId="0" fontId="19" fillId="2" borderId="0" applyAlignment="1" pivotButton="0" quotePrefix="0" xfId="0">
      <alignment horizontal="left" vertical="center"/>
    </xf>
    <xf numFmtId="49" fontId="14" fillId="5" borderId="3" applyAlignment="1" pivotButton="0" quotePrefix="0" xfId="0">
      <alignment horizontal="left" vertical="center" wrapText="1"/>
    </xf>
    <xf numFmtId="0" fontId="20" fillId="0" borderId="0" applyAlignment="1" pivotButton="0" quotePrefix="0" xfId="0">
      <alignment horizontal="general" vertical="bottom" wrapText="1"/>
    </xf>
    <xf numFmtId="49" fontId="14" fillId="6" borderId="3" applyAlignment="1" pivotButton="0" quotePrefix="0" xfId="0">
      <alignment horizontal="left" vertical="center" wrapText="1"/>
    </xf>
    <xf numFmtId="0" fontId="21" fillId="6" borderId="3" applyAlignment="1" pivotButton="0" quotePrefix="0" xfId="0">
      <alignment horizontal="left" vertical="center" wrapText="1"/>
    </xf>
    <xf numFmtId="0" fontId="0" fillId="6" borderId="3" applyAlignment="1" pivotButton="0" quotePrefix="0" xfId="0">
      <alignment horizontal="left" vertical="center" wrapText="1"/>
    </xf>
    <xf numFmtId="49" fontId="0" fillId="6" borderId="3" applyAlignment="1" pivotButton="0" quotePrefix="0" xfId="0">
      <alignment horizontal="left" vertical="center" wrapText="1"/>
    </xf>
    <xf numFmtId="0" fontId="0" fillId="0" borderId="0" applyAlignment="1" pivotButton="0" quotePrefix="0" xfId="0">
      <alignment horizontal="general" vertical="center" wrapText="1"/>
    </xf>
    <xf numFmtId="0" fontId="0" fillId="5" borderId="3" applyAlignment="1" pivotButton="0" quotePrefix="0" xfId="0">
      <alignment horizontal="left" vertical="center" wrapText="1"/>
    </xf>
    <xf numFmtId="0" fontId="22" fillId="2" borderId="0" applyAlignment="1" pivotButton="0" quotePrefix="0" xfId="0">
      <alignment horizontal="left" vertical="center"/>
    </xf>
    <xf numFmtId="0" fontId="23" fillId="0" borderId="0" applyAlignment="1" pivotButton="0" quotePrefix="0" xfId="0">
      <alignment horizontal="left" vertical="center"/>
    </xf>
    <xf numFmtId="0" fontId="10" fillId="7" borderId="0" applyAlignment="1" pivotButton="0" quotePrefix="0" xfId="0">
      <alignment horizontal="center" vertical="center"/>
    </xf>
    <xf numFmtId="0" fontId="24" fillId="0" borderId="0" applyAlignment="1" pivotButton="0" quotePrefix="0" xfId="0">
      <alignment horizontal="left" vertical="center"/>
    </xf>
    <xf numFmtId="0" fontId="10" fillId="8" borderId="0" applyAlignment="1" pivotButton="0" quotePrefix="0" xfId="0">
      <alignment horizontal="center" vertical="center"/>
    </xf>
    <xf numFmtId="0" fontId="10" fillId="9" borderId="0" applyAlignment="1" pivotButton="0" quotePrefix="0" xfId="0">
      <alignment horizontal="center" vertical="center"/>
    </xf>
    <xf numFmtId="164" fontId="11" fillId="5" borderId="3" applyAlignment="1" pivotButton="0" quotePrefix="0" xfId="0">
      <alignment horizontal="left" vertical="center" wrapText="1"/>
    </xf>
    <xf numFmtId="0" fontId="6" fillId="0" borderId="0" applyAlignment="1" pivotButton="0" quotePrefix="0" xfId="0">
      <alignment horizontal="general" vertical="bottom"/>
    </xf>
    <xf numFmtId="0" fontId="25" fillId="7" borderId="0" applyAlignment="1" pivotButton="0" quotePrefix="0" xfId="0">
      <alignment horizontal="center" vertical="center"/>
    </xf>
    <xf numFmtId="0" fontId="25" fillId="8" borderId="0" applyAlignment="1" pivotButton="0" quotePrefix="0" xfId="0">
      <alignment horizontal="center" vertical="center"/>
    </xf>
    <xf numFmtId="0" fontId="25" fillId="9" borderId="0" applyAlignment="1" pivotButton="0" quotePrefix="0" xfId="0">
      <alignment horizontal="center" vertical="center"/>
    </xf>
    <xf numFmtId="0" fontId="26" fillId="0" borderId="0"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ont>
        <name val="Arial"/>
        <charset val="1"/>
        <family val="0"/>
        <b val="1"/>
        <color rgb="FFFFFFFF"/>
      </font>
      <fill>
        <patternFill>
          <bgColor rgb="FF2E7D4F"/>
        </patternFill>
      </fill>
    </dxf>
    <dxf>
      <font>
        <name val="Arial"/>
        <charset val="1"/>
        <family val="0"/>
        <b val="1"/>
        <color rgb="FFFFFFFF"/>
      </font>
      <fill>
        <patternFill>
          <bgColor rgb="FFB8742A"/>
        </patternFill>
      </fill>
    </dxf>
    <dxf>
      <font>
        <name val="Arial"/>
        <charset val="1"/>
        <family val="0"/>
        <b val="1"/>
        <color rgb="FFFFFFFF"/>
      </font>
      <fill>
        <patternFill>
          <bgColor rgb="FF1F6F7A"/>
        </patternFill>
      </fill>
    </dxf>
    <dxf>
      <font>
        <name val="Arial"/>
        <charset val="1"/>
        <family val="0"/>
        <b val="1"/>
        <color rgb="FFFFFFFF"/>
      </font>
      <fill>
        <patternFill>
          <bgColor rgb="FFD9A227"/>
        </patternFill>
      </fill>
    </dxf>
    <dxf>
      <font>
        <name val="Arial"/>
        <charset val="1"/>
        <family val="0"/>
        <b val="1"/>
        <color rgb="FFFFFFFF"/>
      </font>
      <fill>
        <patternFill>
          <bgColor rgb="FFC0392B"/>
        </patternFill>
      </fill>
    </dxf>
  </dxfs>
  <colors>
    <indexedColors>
      <rgbColor rgb="FF000000"/>
      <rgbColor rgb="FFFFFFFF"/>
      <rgbColor rgb="FFD6006E"/>
      <rgbColor rgb="FF00FF00"/>
      <rgbColor rgb="FF0000FF"/>
      <rgbColor rgb="FFFFFF00"/>
      <rgbColor rgb="FFFF00FF"/>
      <rgbColor rgb="FF00FFFF"/>
      <rgbColor rgb="FF800000"/>
      <rgbColor rgb="FF008000"/>
      <rgbColor rgb="FF000080"/>
      <rgbColor rgb="FFB8742A"/>
      <rgbColor rgb="FF800080"/>
      <rgbColor rgb="FF1F6F7A"/>
      <rgbColor rgb="FFC3CDC1"/>
      <rgbColor rgb="FF808080"/>
      <rgbColor rgb="FF9999FF"/>
      <rgbColor rgb="FF993366"/>
      <rgbColor rgb="FFF4F7F3"/>
      <rgbColor rgb="FFEFE9F2"/>
      <rgbColor rgb="FF660066"/>
      <rgbColor rgb="FFFF8080"/>
      <rgbColor rgb="FF0066CC"/>
      <rgbColor rgb="FFC9C9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3F0"/>
      <rgbColor rgb="FF3366FF"/>
      <rgbColor rgb="FF33CCCC"/>
      <rgbColor rgb="FF99CC00"/>
      <rgbColor rgb="FFFFCC00"/>
      <rgbColor rgb="FFD9A227"/>
      <rgbColor rgb="FFFF6600"/>
      <rgbColor rgb="FF566159"/>
      <rgbColor rgb="FF969696"/>
      <rgbColor rgb="FF003366"/>
      <rgbColor rgb="FF2E7D4F"/>
      <rgbColor rgb="FF1B2420"/>
      <rgbColor rgb="FF222222"/>
      <rgbColor rgb="FFC0392B"/>
      <rgbColor rgb="FF993366"/>
      <rgbColor rgb="FF333399"/>
      <rgbColor rgb="FF2E2A5D"/>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D6006E"/>
    <outlinePr summaryBelow="1" summaryRight="1"/>
    <pageSetUpPr fitToPage="0"/>
  </sheetPr>
  <dimension ref="A1:J24"/>
  <sheetViews>
    <sheetView showFormulas="0" showGridLines="0" showRowColHeaders="1" showZeros="1" rightToLeft="0" tabSelected="1" showOutlineSymbols="1" defaultGridColor="1" view="normal" topLeftCell="A1" colorId="64" zoomScale="88" zoomScaleNormal="88" zoomScalePageLayoutView="100" workbookViewId="0">
      <pane xSplit="0" ySplit="9" topLeftCell="A10" activePane="bottomLeft" state="frozen"/>
      <selection pane="topLeft" activeCell="A1" activeCellId="0" sqref="A1"/>
      <selection pane="bottomLeft" activeCell="J10" activeCellId="0" sqref="J10"/>
    </sheetView>
  </sheetViews>
  <sheetFormatPr baseColWidth="8" defaultColWidth="8.5703125" defaultRowHeight="14.25" zeroHeight="0" outlineLevelRow="0"/>
  <cols>
    <col width="18" customWidth="1" style="45" min="1" max="1"/>
    <col width="20" customWidth="1" style="45" min="2" max="2"/>
    <col width="26" customWidth="1" style="45" min="3" max="4"/>
    <col width="16" customWidth="1" style="45" min="5" max="5"/>
    <col width="20" customWidth="1" style="45" min="6" max="6"/>
    <col width="10" customWidth="1" style="45" min="7" max="7"/>
    <col width="26" customWidth="1" style="45" min="8" max="8"/>
    <col width="22" customWidth="1" style="45" min="9" max="10"/>
  </cols>
  <sheetData>
    <row r="1" ht="30" customHeight="1" s="46">
      <c r="A1" s="47" t="inlineStr">
        <is>
          <t>Weekly Planner - To be submitted to Head of School prior to the start of each Half-Term</t>
        </is>
      </c>
    </row>
    <row r="2" ht="14.25" customHeight="1" s="46">
      <c r="A2" s="48" t="inlineStr">
        <is>
          <t>Progress Schools  ·  linked to the 2026/27 Schemes of Work</t>
        </is>
      </c>
    </row>
    <row r="3"/>
    <row r="4" ht="19.5" customHeight="1" s="46">
      <c r="A4" s="49" t="inlineStr">
        <is>
          <t>Pathway</t>
        </is>
      </c>
      <c r="B4" s="50" t="inlineStr">
        <is>
          <t>GROW</t>
        </is>
      </c>
      <c r="D4" s="45" t="n">
        <v>7</v>
      </c>
      <c r="F4" s="49" t="inlineStr">
        <is>
          <t>Week no.</t>
        </is>
      </c>
      <c r="G4" s="50" t="n">
        <v>7</v>
      </c>
    </row>
    <row r="5" ht="19.5" customHeight="1" s="46">
      <c r="A5" s="49" t="inlineStr">
        <is>
          <t>Term</t>
        </is>
      </c>
      <c r="B5" s="50" t="inlineStr">
        <is>
          <t>Autumn</t>
        </is>
      </c>
      <c r="F5" s="49" t="inlineStr">
        <is>
          <t>Group / class</t>
        </is>
      </c>
      <c r="G5" s="50" t="n"/>
    </row>
    <row r="6" ht="19.5" customHeight="1" s="46">
      <c r="A6" s="49" t="inlineStr">
        <is>
          <t>Theme</t>
        </is>
      </c>
      <c r="B6" s="51">
        <f>IF(B5="Autumn","Identity &amp; Belonging",IF(B5="Spring","Resilience &amp; Change",IF(B5="Summer","Our World, My Future","pick a term")))</f>
        <v/>
      </c>
      <c r="C6" s="52" t="n"/>
      <c r="D6" s="52" t="n"/>
      <c r="F6" s="49" t="inlineStr">
        <is>
          <t>Teacher</t>
        </is>
      </c>
      <c r="G6" s="50" t="n"/>
    </row>
    <row r="7" ht="19.5" customHeight="1" s="46">
      <c r="A7" s="49" t="inlineStr">
        <is>
          <t>Week commencing</t>
        </is>
      </c>
      <c r="B7" s="53" t="n">
        <v>46307</v>
      </c>
      <c r="F7" s="49" t="inlineStr">
        <is>
          <t>Reviewed by</t>
        </is>
      </c>
      <c r="G7" s="50" t="n"/>
    </row>
    <row r="8" ht="45.75" customHeight="1" s="46">
      <c r="A8" s="54" t="inlineStr">
        <is>
          <t>SMSC/BV this week: BHM continues; Harvest window (tbc) — Grow PSHE W7's community-action pitch can adopt a harvest/food-bank action (strongest tie of the term).  Hate Crime Awareness Week — if this week, tie to the BV Rule of Law assembly.  EVIDENCE: planning boards + evidence platform: community/citizenship → log in the SMSC Evidence Tracker.</t>
        </is>
      </c>
      <c r="B8" s="55" t="n"/>
      <c r="C8" s="55" t="n"/>
      <c r="D8" s="55" t="n"/>
      <c r="E8" s="55" t="n"/>
      <c r="F8" s="55" t="n"/>
      <c r="G8" s="55" t="n"/>
      <c r="H8" s="55" t="n"/>
      <c r="I8" s="55" t="n"/>
      <c r="J8" s="56" t="n"/>
    </row>
    <row r="9" ht="30" customHeight="1" s="46">
      <c r="A9" s="57" t="inlineStr">
        <is>
          <t>Subject</t>
        </is>
      </c>
      <c r="B9" s="57" t="inlineStr">
        <is>
          <t>SoW unit (this term)</t>
        </is>
      </c>
      <c r="C9" s="57" t="inlineStr">
        <is>
          <t>This week's outcome</t>
        </is>
      </c>
      <c r="D9" s="57" t="inlineStr">
        <is>
          <t>Activities</t>
        </is>
      </c>
      <c r="E9" s="57" t="inlineStr">
        <is>
          <t>Key vocabulary</t>
        </is>
      </c>
      <c r="F9" s="57" t="inlineStr">
        <is>
          <t>Resources required</t>
        </is>
      </c>
      <c r="G9" s="57" t="inlineStr">
        <is>
          <t>Assess. (F/S)</t>
        </is>
      </c>
      <c r="H9" s="57" t="inlineStr">
        <is>
          <t>Student adaptations</t>
        </is>
      </c>
      <c r="I9" s="57" t="inlineStr">
        <is>
          <t>Classroom support</t>
        </is>
      </c>
      <c r="J9" s="57" t="inlineStr">
        <is>
          <t>Evaluation (after teaching)</t>
        </is>
      </c>
    </row>
    <row r="10" ht="330" customHeight="1" s="46">
      <c r="A10" s="58" t="inlineStr">
        <is>
          <t>English</t>
        </is>
      </c>
      <c r="B10" s="59" t="inlineStr">
        <is>
          <t>Identity in fiction &amp; life writing: redraft descriptive writing and submit Step Up/UAS evidence.</t>
        </is>
      </c>
      <c r="C10" s="59" t="inlineStr">
        <is>
          <t>I can improve my descriptive writing and submit a finished piece of evidence.</t>
        </is>
      </c>
      <c r="D10" s="59" t="inlineStr">
        <is>
          <t>Arrival task: improve one basic sentence → revisit own paragraph → teacher models redrafting using checklist → students improve vocabulary, punctuation or detail → final copy/typed version → evidence checklist and confidence review.</t>
        </is>
      </c>
      <c r="E10" s="59" t="inlineStr">
        <is>
          <t>redraft, improve, evidence, vocabulary, punctuation, detail, portfolio</t>
        </is>
      </c>
      <c r="F10" s="60" t="inlineStr">
        <is>
          <t>Student drafts; redrafting checklist; vocabulary mat; laptops; Step Up/UAS evidence checklist; individual targets.</t>
        </is>
      </c>
      <c r="G10" s="61" t="inlineStr">
        <is>
          <t>S</t>
        </is>
      </c>
      <c r="H10" s="60" t="inlineStr">
        <is>
          <t>One improvement target at a time; teacher/TA conference; typing/scribe option; use of model sentence; private feedback only.</t>
        </is>
      </c>
      <c r="I10" s="60" t="inlineStr">
        <is>
          <t>TA supports proofreading and copying up. Teacher marks against appropriate Step Up/FS/UAS criteria and banks evidence.
LOOP [Feedback Policy]: Voice = short margin edit / re-attempt [//, I/WS] → Audience: read the edit and name the change before adding [R]; one next step [NS] → EVIDENCE: coded book edit; clips for oracy [E: literacy] — live; deferred response only for extended writing.</t>
        </is>
      </c>
      <c r="J10" s="60" t="inlineStr">
        <is>
          <t>To complete after teaching: record submitted evidence, next writing target and any missing portfolio evidence.  → Influence: shapes the next scaffold and the half-termly plan; SPaG routes to spelling intervention, not margin marking [NS].</t>
        </is>
      </c>
    </row>
    <row r="11" ht="330" customHeight="1" s="46">
      <c r="A11" s="62" t="inlineStr">
        <is>
          <t>Maths</t>
        </is>
      </c>
      <c r="B11" s="63" t="inlineStr">
        <is>
          <t>Place value &amp; the four operations</t>
        </is>
      </c>
      <c r="C11" s="64" t="inlineStr">
        <is>
          <t>I can demonstrate my understanding of number and money skills through assessment tasks and evidence-based activities.</t>
        </is>
      </c>
      <c r="D11" s="63" t="inlineStr">
        <is>
          <t>Complete a Number and Money assessment covering key skills taught during the topic.
Solve problems involving the four operations, money, budgeting and best value.
Apply number skills to real-life financial situations.
Review and check answers for accuracy.
Complete practical tasks that provide evidence of mathematical understanding.
Reflect on strengths and identify areas for future improvement.
Collect and organise work as evidence for learner portfolios or assessment banks.
Evidence beyond the paper: a station carousel (money, best-buy, calculation-check) photographed for AQA UAS — live feedback at every station so assessment week feels like a challenge day, not a test.</t>
        </is>
      </c>
      <c r="E11" s="63" t="inlineStr">
        <is>
          <t>Assessment
Evidence
Number
Money
Budget
Cost
Price
Total
Change
Best value
Calculate
Estimate
Accuracy
Financial
Problem-solving
Progress
Achievement
Target</t>
        </is>
      </c>
      <c r="F11" s="63" t="inlineStr">
        <is>
          <t>Assessment papers
Calculators
Whiteboards and pens
Station-carousel task cards and an evidence camera
Shopping and budgeting scenarios
Receipts, bills and price lists
Learner portfolios or evidence folders
Interactive whiteboard resources
Vocabulary mats</t>
        </is>
      </c>
      <c r="G11" s="63" t="inlineStr">
        <is>
          <t>F</t>
        </is>
      </c>
      <c r="H11" s="63" t="inlineStr">
        <is>
          <t>Provide additional reading and language support where needed.
Allow extra time for assessment activities.
Use visual prompts and practical examples to support understanding.
Break tasks into manageable sections.
Permit calculator use where appropriate.
Offer adult support to clarify instructions and reduce anxiety.
Enable pupils to provide evidence through practical, verbal or written activities.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is>
      </c>
      <c r="I11" s="63" t="inlineStr">
        <is>
          <t>Teacher guidance on assessment expectations and success criteria.
A calm and supportive environment that promotes confidence.
Guided support during evidence-based activities.
Regular reinforcement of key mathematical and financial vocabulary.
Opportunities to review work and correct errors.
Ongoing assessment through observation, discussion and completed tasks.
Positive feedback and target-setting to support future progress.
LOOP [Feedback Policy]: Voice = mini-whiteboard show-me / re-do, verbal reply [VF, I] → Audience: name the corrected step back and tick the success criteria; [R] on an accurate re-do → EVIDENCE: photo of the practical proof + book note, same day [E: numeracy/vocational — daily evidence platform].</t>
        </is>
      </c>
      <c r="J11" s="63" t="inlineStr">
        <is>
          <t>Influence: next task adapted; who needs the method re-modelled shapes grouping and the half-termly plan [NS].</t>
        </is>
      </c>
    </row>
    <row r="12" ht="360" customHeight="1" s="46">
      <c r="A12" s="58" t="inlineStr">
        <is>
          <t>Science</t>
        </is>
      </c>
      <c r="B12" s="61" t="inlineStr">
        <is>
          <t>White Rose Science Year 5/6 - Aut1·W7</t>
        </is>
      </c>
      <c r="C12" s="65" t="inlineStr">
        <is>
          <t>I can describe how the Moon moves around the Earth and why it looks different each week.</t>
        </is>
      </c>
      <c r="D12" s="61" t="inlineStr">
        <is>
          <t>v5 whiteboard deck 'The Moon's Journey': Orbit and time; Where the light comes from; Model the phases. Runs across BOTH weekly 40-min periods: Period 1 → up to We Do 2; Period 2 = extended Independent Work → Lundy → Exit, where the practical and the Assessor Witness evidence are made. One print pack covers both periods.</t>
        </is>
      </c>
      <c r="E12" s="61" t="inlineStr">
        <is>
          <t>satellite, phase, reflect, crescent, full moon</t>
        </is>
      </c>
      <c r="F12" s="61" t="inlineStr">
        <is>
          <t>Science_Teesside/Grow/SCI_G_W7_The_Moon.html (3-tier print pack off the title slide)</t>
        </is>
      </c>
      <c r="G12" s="61" t="inlineStr">
        <is>
          <t>F</t>
        </is>
      </c>
      <c r="H12" s="61" t="inlineStr">
        <is>
          <t>Tiered 3 ways (Supported/Standard/Stretch) at arrival, independent work and exit. Forces work is noisy and physical - trolleys, ramps, dropped masses. Agree the noise signal before equipment comes out, and offer ear defenders without making it a conversation. A pupil may record data instead of running the trial and still be doing the science.</t>
        </is>
      </c>
      <c r="I12" s="61" t="inlineStr">
        <is>
          <t>TA is the Sun and holds the torch steady. Teacher makes every pupil walk at least one orbit — no observers. LOOP [Feedback Policy]: Voice = fair-test plan / results table / labelled diagram / short written describe / verbal reply [VF, //, I/WS] → Audience: read the answer or diagram back and name one improvement; [R] once received → EVIDENCE: coded, redrafted book + results photo [E: science — banks ELC 8939 evidence].</t>
        </is>
      </c>
      <c r="J12" s="61" t="inlineStr">
        <is>
          <t>Note who keeps Sun/Earth/Moon in the right relationship when walking.  → Influence: the orbit model is the prerequisite for W8's day and night — reteach here if shaky, do not push on [NS].</t>
        </is>
      </c>
    </row>
    <row r="13" ht="330" customHeight="1" s="46">
      <c r="A13" s="62" t="inlineStr">
        <is>
          <t>PSHE / RSE</t>
        </is>
      </c>
      <c r="B13" s="63" t="inlineStr">
        <is>
          <t>Identity, rights &amp; British values (PSHE Association KS3 + ACT) · AQA UAS 'Rights &amp; responsibilities' · SoW Aut1·W7</t>
        </is>
      </c>
      <c r="C13" s="63" t="inlineStr">
        <is>
          <t>I can plan a small action that makes our community better.</t>
        </is>
      </c>
      <c r="D13" s="63" t="inlineStr">
        <is>
          <t>Pitch day (Active Citizenship, part 1): teams choose a real micro-action — site litter blitz, kindness campaign, charity bake, poppy support for RE's Remembrance week → plan it for REAL on a big planning board: who / what / when / what it costs → pitch to the Head of School, Dragons'-Den style, for permission to run it in Week 8.  EVIDENCE: planning boards + pitch photos (AQA UAS).  GCSE STRETCH: this IS the GCSE Citizenship 'Active Citizenship' skill — investigate, plan, act.</t>
        </is>
      </c>
      <c r="E13" s="63" t="inlineStr">
        <is>
          <t>action, plan, community, pitch, impact, volunteer</t>
        </is>
      </c>
      <c r="F13" s="63" t="inlineStr">
        <is>
          <t>Big planning boards + markers; costing props; HoS booked as the 'Dragon'; camera.</t>
        </is>
      </c>
      <c r="G13" s="63" t="inlineStr">
        <is>
          <t>F</t>
        </is>
      </c>
      <c r="H13" s="63" t="inlineStr">
        <is>
          <t>Team roles chosen by strength (speaker, planner, maker, photographer) — nobody is forced to present.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is>
      </c>
      <c r="I13" s="63" t="inlineStr">
        <is>
          <t>TA scaffolds the planning board; the HoS gives live feedback on the pitch and green-lights it; teacher keeps the action genuinely achievable in one week.
LOOP [Feedback Policy]: Voice = campaign video / freeze-frame / card + verbal reply [VF] → Audience: name the strength back + one [NS]; listen to clips fully before tagging, then [R] → EVIDENCE: video/card photo to evidence platform, same day [E: PfA/citizenship/social enterprise — daily evidence platform].</t>
        </is>
      </c>
      <c r="J13" s="63" t="inlineStr">
        <is>
          <t>Influence: the W7 pitch shapes the W8 real action; outcomes feed APDR and the citizenship ladder [NS].</t>
        </is>
      </c>
    </row>
    <row r="14" ht="330" customHeight="1" s="46">
      <c r="A14" s="58" t="inlineStr">
        <is>
          <t>RE</t>
        </is>
      </c>
      <c r="B14" s="61" t="inlineStr">
        <is>
          <t>Belief, festivals &amp; belonging (Geography, Kapow + RE)</t>
        </is>
      </c>
      <c r="C14" s="65" t="inlineStr">
        <is>
          <t>I can reflect on the importance of Remembrance and explain how shared values help bring communities together.</t>
        </is>
      </c>
      <c r="D14" s="61" t="inlineStr">
        <is>
          <t>Arrival: two minutes of silence with a poppy image — how did that feel? → the story of the poppy and Remembrance told with artefacts (poppy, service photos, images of local Teesside war memorials) → hands-on: make a class poppy cascade, and look up one name from a local memorial → each pupil records why shared remembering matters.  Calm, respectful pace throughout — links PSHE's poppy-support action option.  EVIDENCE: cascade + recordings (AQA UAS).  GCSE STRETCH: how do shared rituals hold a community together?</t>
        </is>
      </c>
      <c r="E14" s="61" t="inlineStr">
        <is>
          <t>Remembrance
Respect
Peace
Sacrifice
Courage
Reflection
Community
Values
Compassion
Gratitude
Commemoration
Memorial
Unity
Diversity
Belief
Responsibility</t>
        </is>
      </c>
      <c r="F14" s="61" t="inlineStr">
        <is>
          <t>Poppies/craft materials for the cascade; artefact and photo set incl. local memorials; local memorial name lists; voice recorder; calm music.</t>
        </is>
      </c>
      <c r="G14" s="61" t="inlineStr">
        <is>
          <t>F</t>
        </is>
      </c>
      <c r="H14" s="61" t="inlineStr">
        <is>
          <t>Quiet and unhurried; contributing a poppy is enough — recording is optional with a TA-voiced alternative.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is>
      </c>
      <c r="I14" s="61" t="inlineStr">
        <is>
          <t>TA supports the making and the look-ups; teacher holds the calm tone and models the silence; the cascade photo + recordings are the evidence.
LOOP [Feedback Policy]: Voice = defended bid / make + spoken reason / W5 paragraph [VF, //] → Audience: name the comparison back; for the W5 write, one [NS] then response time; [R] after received → EVIDENCE: photo of make/web + W5 paragraph in book [E: RE/enrichment] — W5 deferred.</t>
        </is>
      </c>
      <c r="J14" s="61" t="inlineStr">
        <is>
          <t>Influence: who compares vs describes shapes next week's stem and the half-termly plan [NS].</t>
        </is>
      </c>
    </row>
    <row r="15" ht="360" customHeight="1" s="46">
      <c r="A15" s="62" t="inlineStr">
        <is>
          <t>Humanities</t>
        </is>
      </c>
      <c r="B15" s="61" t="inlineStr">
        <is>
          <t>Kapow History — write and assess a structured account + source evaluation. Banks the October structured-account summative.</t>
        </is>
      </c>
      <c r="C15" s="65" t="inlineStr">
        <is>
          <t>I can write a short account about migration and say if a source is useful.</t>
        </is>
      </c>
      <c r="D15" s="61" t="inlineStr">
        <is>
          <t>Arrival task: recap 'First… Then… This meant…' in one line → model turning the Week 6 plan into 2-3 sentences and adding 'this source is useful because…' → we do: write the opening sentence together → you do: complete your account from the Week 6 plan + one usefulness sentence → exit: tick your work against the picture success criteria.  DIFFERENTIATION &amp; EVIDENCE (assessed FS writing): FLOOR (Pupil C) — he scribes / voice-notes the account for his ideas, THEN writes the opening sentence with a word bank + frame on blue paper; BOTH are banked, so he is assessed fairly on Functional Skills writing AND still developing it; printed model, never board-copied.  CEILING (Pupil B) — an extended account (4–5 sentences) using two sources, a source-usefulness judgement AND a counter-point, marked at the higher end.  Pupil A — extra time for neat presentation honoured; success criteria ticked privately.</t>
        </is>
      </c>
      <c r="E15" s="61" t="inlineStr">
        <is>
          <t>account, structure, evidence, source, useful, first, then, because, migration, judgement</t>
        </is>
      </c>
      <c r="F15" s="61" t="inlineStr">
        <is>
          <t>Week 6 plans; picture-supported writing frame; picture success-criteria checklist; sentence stems; magenta copies; scribe/typing option.</t>
        </is>
      </c>
      <c r="G15" s="61" t="inlineStr">
        <is>
          <t>S (assessed account)</t>
        </is>
      </c>
      <c r="H15" s="61" t="inlineStr">
        <is>
          <t>Builds directly on the familiar Week 6 plan — no cold start, no surprises (lowers assessment anxiety). Frame + stems + picture criteria permitted; scribe/typing option; reduced length; quiet space.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is>
      </c>
      <c r="I15" s="61" t="inlineStr">
        <is>
          <t>TA available for reading/scribing only; teacher briefs calmly with no time-pressure language; mark against shared picture criteria with forward-looking feedback.
LOOP [Feedback Policy]: Voice = source verdict / timeline placement / short account [//, I] → Audience: read against the success criteria and name the change; [R] after received → EVIDENCE: coded book + enquiry photos [E: humanities] — deferred for the written account.</t>
        </is>
      </c>
      <c r="J15" s="61" t="inlineStr">
        <is>
          <t>Note who supports a point with evidence and judges a source vs who retells; compare to the Week 3 baseline to show progress.  → Influence: the source-use skill shapes the next enquiry's scaffold [NS].</t>
        </is>
      </c>
    </row>
    <row r="16" ht="330" customHeight="1" s="46">
      <c r="A16" s="58" t="inlineStr">
        <is>
          <t>Arts (Arts Award)</t>
        </is>
      </c>
      <c r="B16" s="61" t="inlineStr">
        <is>
          <t>Trinity Arts Award Explore — share my portfolio evidence so far.</t>
        </is>
      </c>
      <c r="C16" s="65" t="inlineStr">
        <is>
          <t>I can show my artwork and say one thing I did well and one next step.</t>
        </is>
      </c>
      <c r="D16" s="61" t="inlineStr">
        <is>
          <t>Arrival task: lay out your pieces — pick your favourite → model a short 'show and tell' (what it is / one thing I did well) using stems → we do: practise sharing on a demo piece together → you do: present your portfolio to a partner or the TA and record one next step in the log → exit: highlight the piece you'll build on next term.</t>
        </is>
      </c>
      <c r="E16" s="61" t="inlineStr">
        <is>
          <t>portfolio, share, present, evidence, proud, next step, technique, review, arts log</t>
        </is>
      </c>
      <c r="F16" s="61" t="inlineStr">
        <is>
          <t>Pupils' portfolios; show-and-tell stem cards; arts-log frame; camera for evidence; audio-record option; calm sharing space; magenta stem sheet.</t>
        </is>
      </c>
      <c r="G16" s="61" t="inlineStr">
        <is>
          <t>S (Explore portfolio evidence)</t>
        </is>
      </c>
      <c r="H16" s="61" t="inlineStr">
        <is>
          <t>Share 1:1 or to a partner — never a whole-room presentation; stems remove 'I don't know what to say'; audio-record option. Effort celebrated over outcome (no ranking); calm space. Banks Arts Award Explore evidence.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is>
      </c>
      <c r="I16" s="61" t="inlineStr">
        <is>
          <t>TA prompts 'what did you do well?' and scribes/records; teacher models a short, kind show-and-tell; file evidence in the portfolio.
LOOP [Feedback Policy]: Voice = make + arts-log photo + comment [VF] → Audience: listen fully before tagging, one next technique [NS]; then [R] → EVIDENCE: Arts Award Explore log = the accreditation evidence, same day [E: Arts Award].</t>
        </is>
      </c>
      <c r="J16" s="61" t="inlineStr">
        <is>
          <t>Note who identifies a strength and a next step vs who only shows the work; confirm portfolio evidence is filed and dated.  → Influence: the log builds toward Explore → Bronze/GCSE ladder; calibrated at moderation [NS].</t>
        </is>
      </c>
    </row>
    <row r="17" ht="45.75" customHeight="1" s="46">
      <c r="A17" s="62" t="inlineStr">
        <is>
          <t>PE</t>
        </is>
      </c>
      <c r="B17" s="63" t="n"/>
      <c r="C17" s="63" t="n"/>
      <c r="D17" s="63" t="n"/>
      <c r="E17" s="63" t="n"/>
      <c r="F17" s="63" t="n"/>
      <c r="G17" s="63" t="n"/>
      <c r="H17" s="63" t="n"/>
      <c r="I17" s="63" t="n"/>
      <c r="J17" s="63" t="n"/>
    </row>
    <row r="18" ht="45.75" customHeight="1" s="46">
      <c r="A18" s="58" t="inlineStr">
        <is>
          <t>Careers / Vocational (ASDAN)</t>
        </is>
      </c>
      <c r="B18" s="61" t="n"/>
      <c r="C18" s="61" t="n"/>
      <c r="D18" s="61" t="n"/>
      <c r="E18" s="61" t="n"/>
      <c r="F18" s="61" t="n"/>
      <c r="G18" s="61" t="n"/>
      <c r="H18" s="61" t="n"/>
      <c r="I18" s="61" t="n"/>
      <c r="J18" s="61" t="n"/>
    </row>
    <row r="20" ht="18" customHeight="1" s="46">
      <c r="A20" s="66" t="inlineStr">
        <is>
          <t>Enrichment &amp; wider opportunities this week   (trips, visitors, themed days, SMSC calendar link, PfA / community)</t>
        </is>
      </c>
    </row>
    <row r="21" ht="117.75" customHeight="1" s="46">
      <c r="A21" s="67" t="inlineStr">
        <is>
          <t>Mon: International Day of Peace assembly — belonging &amp; getting along.  Fri (26 Sep): European Day of Languages — celebrate different languages (tutor time).  Whole-school theme assembly: Identity &amp; Belonging.  PfA / community: a local walk — outdoor regulation, community access and a relaxed chance to talk.</t>
        </is>
      </c>
      <c r="B21" s="68" t="n"/>
      <c r="C21" s="68" t="n"/>
      <c r="D21" s="68" t="n"/>
      <c r="E21" s="68" t="n"/>
      <c r="F21" s="68" t="n"/>
      <c r="G21" s="68" t="n"/>
      <c r="H21" s="68" t="n"/>
      <c r="I21" s="68" t="n"/>
      <c r="J21" s="69" t="n"/>
    </row>
    <row r="22" ht="18" customHeight="1" s="46">
      <c r="A22" s="66" t="inlineStr">
        <is>
          <t>Resources &amp; support to prepare before the week   (printing, kit, bookings, briefing the team)</t>
        </is>
      </c>
    </row>
    <row r="23" ht="141.75" customHeight="1" s="46">
      <c r="A23" s="70" t="inlineStr">
        <is>
          <t>Print: cells picture-label &amp; 'describe a cell' cards, people-bingo &amp; belonging-statement cards, migration event cards + timeline, Arts Award Explore log pages.  Kit: load Cells HTML; playdough / junk (+ optional jelly &amp; sweets — CHECK ALLERGIES &amp; food hygiene) for build-a-cell; giant cell outline &amp; part cards; clay / print &amp; mixed media for Art stations; magnifying glasses.  Brief TA on Pupil A (soft start, take-up time, sharing opt-out).  Confirm any RSHE parental agreement on file if used.</t>
        </is>
      </c>
      <c r="B23" s="68" t="n"/>
      <c r="C23" s="68" t="n"/>
      <c r="D23" s="68" t="n"/>
      <c r="E23" s="68" t="n"/>
      <c r="F23" s="68" t="n"/>
      <c r="G23" s="68" t="n"/>
      <c r="H23" s="68" t="n"/>
      <c r="I23" s="68" t="n"/>
      <c r="J23" s="69" t="n"/>
    </row>
    <row r="24" ht="14.25" customHeight="1" s="46">
      <c r="A24" s="71" t="inlineStr">
        <is>
          <t xml:space="preserve">F = formative  ·  S = summative  ·  PfA = Preparing for Adulthood  </t>
        </is>
      </c>
    </row>
  </sheetData>
  <mergeCells count="9">
    <mergeCell ref="A1:J1"/>
    <mergeCell ref="A23:J23"/>
    <mergeCell ref="A8:J8"/>
    <mergeCell ref="A22:J22"/>
    <mergeCell ref="A21:J21"/>
    <mergeCell ref="A20:J20"/>
    <mergeCell ref="A24:J24"/>
    <mergeCell ref="A2:J2"/>
    <mergeCell ref="B6:D6"/>
  </mergeCells>
  <dataValidations count="4">
    <dataValidation sqref="B4" showDropDown="0" showInputMessage="0" showErrorMessage="0" allowBlank="1" errorTitle="Choose from the list" error="Pick a value from the list." type="list" errorStyle="stop" operator="between">
      <formula1>"BUILD,GROW,LAUNCH"</formula1>
      <formula2>0</formula2>
    </dataValidation>
    <dataValidation sqref="B5" showDropDown="0" showInputMessage="0" showErrorMessage="0" allowBlank="1" errorTitle="Choose from the list" error="Pick a value from the list." type="list" errorStyle="stop" operator="between">
      <formula1>"Autumn,Spring,Summer"</formula1>
      <formula2>0</formula2>
    </dataValidation>
    <dataValidation sqref="A10:A18" showDropDown="0" showInputMessage="0" showErrorMessage="0" allowBlank="1" errorTitle="Choose from the list" error="Pick a value from the list." type="list" errorStyle="stop" operator="between">
      <formula1>"English,Maths,Science,PSHE / RSE,RE,Humanities,Arts (Arts Award),PE,Careers / Vocational (ASDAN),Computing / Digital,Personal Development / PfA"</formula1>
      <formula2>0</formula2>
    </dataValidation>
    <dataValidation sqref="G10:G18" showDropDown="0" showInputMessage="0" showErrorMessage="0" allowBlank="1" errorTitle="Choose from the list" error="Pick a value from the list." type="list" errorStyle="stop" operator="between">
      <formula1>"F,S,F + 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D6006E"/>
    <outlinePr summaryBelow="1" summaryRight="1"/>
    <pageSetUpPr fitToPage="0"/>
  </sheetPr>
  <dimension ref="A1:I19"/>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5" activeCellId="0" sqref="A5"/>
    </sheetView>
  </sheetViews>
  <sheetFormatPr baseColWidth="8" defaultColWidth="8.5703125" defaultRowHeight="14.25" zeroHeight="0" outlineLevelRow="0"/>
  <cols>
    <col width="16" customWidth="1" style="45" min="1" max="1"/>
    <col width="11" customWidth="1" style="45" min="2" max="2"/>
    <col width="10" customWidth="1" style="45" min="3" max="3"/>
    <col width="15" customWidth="1" style="45" min="4" max="4"/>
    <col width="26" customWidth="1" style="45" min="5" max="5"/>
    <col width="28" customWidth="1" style="45" min="6" max="7"/>
    <col width="18" customWidth="1" style="45" min="8" max="8"/>
    <col width="22" customWidth="1" style="45" min="9" max="9"/>
  </cols>
  <sheetData>
    <row r="1" ht="25.5" customHeight="1" s="46">
      <c r="A1" s="72" t="inlineStr">
        <is>
          <t>Student Adaptations</t>
        </is>
      </c>
    </row>
    <row r="2" ht="14.25" customHeight="1" s="46">
      <c r="A2" s="48" t="n"/>
    </row>
    <row r="4" ht="27.75" customHeight="1" s="46">
      <c r="A4" s="57" t="inlineStr">
        <is>
          <t>Name</t>
        </is>
      </c>
      <c r="B4" s="57" t="inlineStr">
        <is>
          <t>Pathway</t>
        </is>
      </c>
      <c r="C4" s="57" t="inlineStr">
        <is>
          <t>Year / KS</t>
        </is>
      </c>
      <c r="D4" s="57" t="inlineStr">
        <is>
          <t>Reading age band</t>
        </is>
      </c>
      <c r="E4" s="57" t="inlineStr">
        <is>
          <t>Communication / sensory needs</t>
        </is>
      </c>
      <c r="F4" s="57" t="inlineStr">
        <is>
          <t>Key scaffolds &amp; adaptations</t>
        </is>
      </c>
      <c r="G4" s="57" t="inlineStr">
        <is>
          <t>EHCP primary outcomes</t>
        </is>
      </c>
      <c r="H4" s="57" t="inlineStr">
        <is>
          <t>PfA focus</t>
        </is>
      </c>
      <c r="I4" s="57" t="inlineStr">
        <is>
          <t>Notes</t>
        </is>
      </c>
    </row>
    <row r="5" ht="42" customHeight="1" s="46">
      <c r="A5" s="58" t="inlineStr">
        <is>
          <t>Pupil A</t>
        </is>
      </c>
      <c r="B5" s="61" t="inlineStr">
        <is>
          <t>GROW</t>
        </is>
      </c>
      <c r="C5" s="61" t="inlineStr">
        <is>
          <t>KS4</t>
        </is>
      </c>
      <c r="D5" s="73" t="n"/>
      <c r="E5" s="61" t="n"/>
      <c r="F5" s="74" t="n"/>
      <c r="G5" s="63" t="n"/>
      <c r="H5" s="61" t="n"/>
      <c r="I5" s="61" t="n"/>
    </row>
    <row r="6" ht="42" customHeight="1" s="46">
      <c r="A6" s="62" t="inlineStr">
        <is>
          <t>Pupil B</t>
        </is>
      </c>
      <c r="B6" s="61" t="inlineStr">
        <is>
          <t>GROW</t>
        </is>
      </c>
      <c r="C6" s="63" t="inlineStr">
        <is>
          <t>KS4</t>
        </is>
      </c>
      <c r="D6" s="75" t="n"/>
      <c r="E6" s="63" t="n"/>
      <c r="F6" s="63" t="n"/>
      <c r="G6" s="63" t="n"/>
      <c r="H6" s="63" t="n"/>
      <c r="I6" s="63" t="n"/>
    </row>
    <row r="7" ht="42" customHeight="1" s="46">
      <c r="A7" s="76" t="inlineStr">
        <is>
          <t>Pupil C</t>
        </is>
      </c>
      <c r="B7" s="77" t="inlineStr">
        <is>
          <t>GROW</t>
        </is>
      </c>
      <c r="C7" s="77" t="inlineStr">
        <is>
          <t>KS4</t>
        </is>
      </c>
      <c r="D7" s="78" t="n"/>
      <c r="E7" s="77" t="n"/>
      <c r="F7" s="77" t="n"/>
      <c r="G7" s="63" t="n"/>
      <c r="H7" s="77" t="n"/>
      <c r="I7" s="79" t="n"/>
    </row>
    <row r="8" ht="30" customHeight="1" s="46">
      <c r="A8" s="77" t="n"/>
      <c r="B8" s="77" t="n"/>
      <c r="C8" s="77" t="n"/>
      <c r="D8" s="77" t="n"/>
      <c r="E8" s="77" t="n"/>
      <c r="F8" s="77" t="n"/>
      <c r="G8" s="77" t="n"/>
      <c r="H8" s="77" t="n"/>
      <c r="I8" s="77" t="n"/>
    </row>
    <row r="9" ht="30" customHeight="1" s="46">
      <c r="A9" s="80" t="n"/>
      <c r="B9" s="80" t="n"/>
      <c r="C9" s="80" t="n"/>
      <c r="D9" s="80" t="n"/>
      <c r="E9" s="80" t="n"/>
      <c r="F9" s="80" t="n"/>
      <c r="G9" s="80" t="n"/>
      <c r="H9" s="80" t="n"/>
      <c r="I9" s="80" t="n"/>
    </row>
    <row r="10" ht="30" customHeight="1" s="46">
      <c r="A10" s="77" t="n"/>
      <c r="B10" s="77" t="n"/>
      <c r="C10" s="77" t="n"/>
      <c r="D10" s="77" t="n"/>
      <c r="E10" s="77" t="n"/>
      <c r="F10" s="77" t="n"/>
      <c r="G10" s="77" t="n"/>
      <c r="H10" s="77" t="n"/>
      <c r="I10" s="77" t="n"/>
    </row>
    <row r="11" ht="30" customHeight="1" s="46">
      <c r="A11" s="80" t="n"/>
      <c r="B11" s="80" t="n"/>
      <c r="C11" s="80" t="n"/>
      <c r="D11" s="80" t="n"/>
      <c r="E11" s="80" t="n"/>
      <c r="F11" s="80" t="n"/>
      <c r="G11" s="80" t="n"/>
      <c r="H11" s="80" t="n"/>
      <c r="I11" s="80" t="n"/>
    </row>
    <row r="12" ht="30" customHeight="1" s="46">
      <c r="A12" s="77" t="n"/>
      <c r="B12" s="77" t="n"/>
      <c r="C12" s="77" t="n"/>
      <c r="D12" s="77" t="n"/>
      <c r="E12" s="77" t="n"/>
      <c r="F12" s="77" t="n"/>
      <c r="G12" s="77" t="n"/>
      <c r="H12" s="77" t="n"/>
      <c r="I12" s="77" t="n"/>
    </row>
    <row r="13" ht="30" customHeight="1" s="46">
      <c r="A13" s="80" t="n"/>
      <c r="B13" s="80" t="n"/>
      <c r="C13" s="80" t="n"/>
      <c r="D13" s="80" t="n"/>
      <c r="E13" s="80" t="n"/>
      <c r="F13" s="80" t="n"/>
      <c r="G13" s="80" t="n"/>
      <c r="H13" s="80" t="n"/>
      <c r="I13" s="80" t="n"/>
    </row>
    <row r="14" ht="30" customHeight="1" s="46">
      <c r="A14" s="77" t="n"/>
      <c r="B14" s="77" t="n"/>
      <c r="C14" s="77" t="n"/>
      <c r="D14" s="77" t="n"/>
      <c r="E14" s="77" t="n"/>
      <c r="F14" s="77" t="n"/>
      <c r="G14" s="77" t="n"/>
      <c r="H14" s="77" t="n"/>
      <c r="I14" s="77" t="n"/>
    </row>
    <row r="15" ht="30" customHeight="1" s="46">
      <c r="A15" s="80" t="n"/>
      <c r="B15" s="80" t="n"/>
      <c r="C15" s="80" t="n"/>
      <c r="D15" s="80" t="n"/>
      <c r="E15" s="80" t="n"/>
      <c r="F15" s="80" t="n"/>
      <c r="G15" s="80" t="n"/>
      <c r="H15" s="80" t="n"/>
      <c r="I15" s="80" t="n"/>
    </row>
    <row r="16" ht="30" customHeight="1" s="46">
      <c r="A16" s="77" t="n"/>
      <c r="B16" s="77" t="n"/>
      <c r="C16" s="77" t="n"/>
      <c r="D16" s="77" t="n"/>
      <c r="E16" s="77" t="n"/>
      <c r="F16" s="77" t="n"/>
      <c r="G16" s="77" t="n"/>
      <c r="H16" s="77" t="n"/>
      <c r="I16" s="77" t="n"/>
    </row>
    <row r="17" ht="30" customHeight="1" s="46">
      <c r="A17" s="80" t="n"/>
      <c r="B17" s="80" t="n"/>
      <c r="C17" s="80" t="n"/>
      <c r="D17" s="80" t="n"/>
      <c r="E17" s="80" t="n"/>
      <c r="F17" s="80" t="n"/>
      <c r="G17" s="80" t="n"/>
      <c r="H17" s="80" t="n"/>
      <c r="I17" s="80" t="n"/>
    </row>
    <row r="18" ht="30" customHeight="1" s="46">
      <c r="A18" s="77" t="n"/>
      <c r="B18" s="77" t="n"/>
      <c r="C18" s="77" t="n"/>
      <c r="D18" s="77" t="n"/>
      <c r="E18" s="77" t="n"/>
      <c r="F18" s="77" t="n"/>
      <c r="G18" s="77" t="n"/>
      <c r="H18" s="77" t="n"/>
      <c r="I18" s="77" t="n"/>
    </row>
    <row r="19" ht="30" customHeight="1" s="46">
      <c r="A19" s="80" t="n"/>
      <c r="B19" s="80" t="n"/>
      <c r="C19" s="80" t="n"/>
      <c r="D19" s="80" t="n"/>
      <c r="E19" s="80" t="n"/>
      <c r="F19" s="80" t="n"/>
      <c r="G19" s="80" t="n"/>
      <c r="H19" s="80" t="n"/>
      <c r="I19" s="80" t="n"/>
    </row>
  </sheetData>
  <mergeCells count="2">
    <mergeCell ref="A1:I1"/>
    <mergeCell ref="A2:I2"/>
  </mergeCells>
  <conditionalFormatting sqref="B5:B7">
    <cfRule type="cellIs" rank="0" priority="2" equalAverage="0" operator="equal" aboveAverage="0" dxfId="0" text="" percent="0" bottom="0">
      <formula>"BUILD"</formula>
    </cfRule>
    <cfRule type="cellIs" rank="0" priority="3" equalAverage="0" operator="equal" aboveAverage="0" dxfId="1" text="" percent="0" bottom="0">
      <formula>"GROW"</formula>
    </cfRule>
    <cfRule type="cellIs" rank="0" priority="4" equalAverage="0" operator="equal" aboveAverage="0" dxfId="2" text="" percent="0" bottom="0">
      <formula>"LAUNCH"</formula>
    </cfRule>
  </conditionalFormatting>
  <conditionalFormatting sqref="B8:B19">
    <cfRule type="cellIs" rank="0" priority="5" equalAverage="0" operator="equal" aboveAverage="0" dxfId="0" text="" percent="0" bottom="0">
      <formula>"BUILD"</formula>
    </cfRule>
    <cfRule type="cellIs" rank="0" priority="6" equalAverage="0" operator="equal" aboveAverage="0" dxfId="1" text="" percent="0" bottom="0">
      <formula>"GROW"</formula>
    </cfRule>
    <cfRule type="cellIs" rank="0" priority="7" equalAverage="0" operator="equal" aboveAverage="0" dxfId="2" text="" percent="0" bottom="0">
      <formula>"LAUNCH"</formula>
    </cfRule>
  </conditionalFormatting>
  <dataValidations count="1">
    <dataValidation sqref="B5:B19" showDropDown="0" showInputMessage="0" showErrorMessage="0" allowBlank="1" errorTitle="Choose from the list" error="Pick a value from the list." type="list" errorStyle="stop" operator="between">
      <formula1>"BUILD,GROW,LAUNCH"</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D6006E"/>
    <outlinePr summaryBelow="1" summaryRight="1"/>
    <pageSetUpPr fitToPage="0"/>
  </sheetPr>
  <dimension ref="A1:I24"/>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8.5703125" defaultRowHeight="14.25" zeroHeight="0" outlineLevelRow="0"/>
  <cols>
    <col width="12" customWidth="1" style="45" min="1" max="1"/>
    <col width="11" customWidth="1" style="45" min="2" max="2"/>
    <col width="16" customWidth="1" style="45" min="3" max="3"/>
    <col width="28" customWidth="1" style="45" min="4" max="4"/>
    <col width="24" customWidth="1" style="45" min="5" max="5"/>
    <col width="9" customWidth="1" style="45" min="6" max="6"/>
    <col width="24" customWidth="1" style="45" min="7" max="7"/>
    <col width="18" customWidth="1" style="45" min="8" max="8"/>
    <col width="26" customWidth="1" style="45" min="9" max="9"/>
  </cols>
  <sheetData>
    <row r="1" ht="25.5" customHeight="1" s="46">
      <c r="A1" s="81" t="inlineStr">
        <is>
          <t xml:space="preserve">Outcome Tracker </t>
        </is>
      </c>
    </row>
    <row r="2" ht="14.25" customHeight="1" s="46">
      <c r="A2" s="82" t="inlineStr">
        <is>
          <t xml:space="preserve">Did everyone make progress and meet the outcome? </t>
        </is>
      </c>
    </row>
    <row r="3" ht="18" customHeight="1" s="46">
      <c r="A3" s="83" t="inlineStr">
        <is>
          <t>GREEN</t>
        </is>
      </c>
      <c r="B3" s="84" t="inlineStr">
        <is>
          <t>All demonstrated progress &amp; achieved the outcome</t>
        </is>
      </c>
      <c r="D3" s="85" t="inlineStr">
        <is>
          <t>AMBER</t>
        </is>
      </c>
      <c r="E3" s="84" t="inlineStr">
        <is>
          <t>Partly met, revisit in class</t>
        </is>
      </c>
      <c r="G3" s="86" t="inlineStr">
        <is>
          <t>RED</t>
        </is>
      </c>
      <c r="H3" s="84" t="inlineStr">
        <is>
          <t>Not met, pick up through intervention</t>
        </is>
      </c>
    </row>
    <row r="4"/>
    <row r="5" ht="27.75" customHeight="1" s="46">
      <c r="A5" s="57" t="inlineStr">
        <is>
          <t>Week (w/c)</t>
        </is>
      </c>
      <c r="B5" s="57" t="inlineStr">
        <is>
          <t>Pathway</t>
        </is>
      </c>
      <c r="C5" s="57" t="inlineStr">
        <is>
          <t>Subject</t>
        </is>
      </c>
      <c r="D5" s="57" t="inlineStr">
        <is>
          <t>Outcome reviewed</t>
        </is>
      </c>
      <c r="E5" s="57" t="inlineStr">
        <is>
          <t>Marking / evidence</t>
        </is>
      </c>
      <c r="F5" s="57" t="inlineStr">
        <is>
          <t>RAG</t>
        </is>
      </c>
      <c r="G5" s="57" t="inlineStr">
        <is>
          <t>Students not yet secure</t>
        </is>
      </c>
      <c r="H5" s="57" t="inlineStr">
        <is>
          <t>Picked up via</t>
        </is>
      </c>
      <c r="I5" s="57" t="inlineStr">
        <is>
          <t>Action &amp; timescale</t>
        </is>
      </c>
    </row>
    <row r="6" ht="30" customHeight="1" s="46">
      <c r="A6" s="87" t="n">
        <v>46307</v>
      </c>
      <c r="B6" s="61" t="inlineStr">
        <is>
          <t>GROW</t>
        </is>
      </c>
      <c r="C6" s="77" t="inlineStr">
        <is>
          <t>English</t>
        </is>
      </c>
      <c r="D6" s="59" t="inlineStr">
        <is>
          <t>Students redrafted descriptive writing, improved at least one sentence, and produced evidence suitable for Step Up/UAS/FS portfolio use.</t>
        </is>
      </c>
      <c r="E6" s="77" t="n"/>
      <c r="F6" s="77" t="n"/>
      <c r="G6" s="77" t="n"/>
      <c r="H6" s="77" t="n"/>
      <c r="I6" s="77" t="n"/>
    </row>
    <row r="7" ht="30" customHeight="1" s="46">
      <c r="A7" s="87" t="n">
        <v>46307</v>
      </c>
      <c r="B7" s="61" t="inlineStr">
        <is>
          <t>GROW</t>
        </is>
      </c>
      <c r="C7" s="77" t="inlineStr">
        <is>
          <t>Maths</t>
        </is>
      </c>
      <c r="D7" s="64" t="inlineStr">
        <is>
          <t>I can demonstrate my understanding of number and money skills through assessment tasks and evidence-based activities.</t>
        </is>
      </c>
      <c r="E7" s="77" t="n"/>
      <c r="F7" s="77" t="n"/>
      <c r="G7" s="77" t="n"/>
      <c r="H7" s="77" t="n"/>
      <c r="I7" s="77" t="n"/>
    </row>
    <row r="8" ht="30" customHeight="1" s="46">
      <c r="A8" s="87" t="n">
        <v>46307</v>
      </c>
      <c r="B8" s="61" t="inlineStr">
        <is>
          <t>GROW</t>
        </is>
      </c>
      <c r="C8" s="61" t="inlineStr">
        <is>
          <t>Science</t>
        </is>
      </c>
      <c r="D8" s="61" t="inlineStr">
        <is>
          <t>I can describe how the Moon moves around the Earth and why it looks different each week.</t>
        </is>
      </c>
      <c r="E8" s="61" t="n"/>
      <c r="F8" s="61" t="n"/>
      <c r="G8" s="61" t="n"/>
      <c r="H8" s="61" t="n"/>
      <c r="I8" s="61" t="n"/>
    </row>
    <row r="9" ht="30" customHeight="1" s="46">
      <c r="A9" s="87" t="n">
        <v>46307</v>
      </c>
      <c r="B9" s="61" t="inlineStr">
        <is>
          <t>GROW</t>
        </is>
      </c>
      <c r="C9" s="61" t="inlineStr">
        <is>
          <t>PSHE / RSE</t>
        </is>
      </c>
      <c r="D9" s="61" t="inlineStr">
        <is>
          <t>I can plan a small action that makes our community better.</t>
        </is>
      </c>
      <c r="E9" s="61" t="n"/>
      <c r="F9" s="61" t="n"/>
      <c r="G9" s="61" t="n"/>
      <c r="H9" s="61" t="n"/>
      <c r="I9" s="61" t="n"/>
    </row>
    <row r="10" ht="30" customHeight="1" s="46">
      <c r="A10" s="87" t="n">
        <v>46307</v>
      </c>
      <c r="B10" s="61" t="inlineStr">
        <is>
          <t>GROW</t>
        </is>
      </c>
      <c r="C10" s="61" t="inlineStr">
        <is>
          <t>Humanities</t>
        </is>
      </c>
      <c r="D10" s="61" t="inlineStr">
        <is>
          <t>I can write a short account about migration and say if a source is useful.</t>
        </is>
      </c>
      <c r="E10" s="61" t="n"/>
      <c r="F10" s="61" t="n"/>
      <c r="G10" s="61" t="n"/>
      <c r="H10" s="61" t="n"/>
      <c r="I10" s="61" t="n"/>
    </row>
    <row r="11" ht="30" customHeight="1" s="46">
      <c r="A11" s="87" t="n">
        <v>46307</v>
      </c>
      <c r="B11" s="61" t="inlineStr">
        <is>
          <t>GROW</t>
        </is>
      </c>
      <c r="C11" s="61" t="inlineStr">
        <is>
          <t>Arts (Arts Award)</t>
        </is>
      </c>
      <c r="D11" s="61" t="inlineStr">
        <is>
          <t>I can show my artwork and say one thing I did well and one next step.</t>
        </is>
      </c>
      <c r="E11" s="61" t="n"/>
      <c r="F11" s="61" t="n"/>
      <c r="G11" s="61" t="n"/>
      <c r="H11" s="61" t="n"/>
      <c r="I11" s="61" t="n"/>
    </row>
    <row r="12" ht="48" customHeight="1" s="46">
      <c r="A12" s="87" t="n">
        <v>46307</v>
      </c>
      <c r="B12" s="61" t="inlineStr">
        <is>
          <t>GROW</t>
        </is>
      </c>
      <c r="C12" s="80" t="inlineStr">
        <is>
          <t>RE</t>
        </is>
      </c>
      <c r="D12" s="65" t="inlineStr">
        <is>
          <t>I can reflect on the importance of Remembrance and explain how shared values help bring communities together.</t>
        </is>
      </c>
      <c r="E12" s="80" t="n"/>
      <c r="F12" s="80" t="n"/>
      <c r="G12" s="80" t="n"/>
      <c r="H12" s="80" t="n"/>
      <c r="I12" s="80" t="n"/>
    </row>
    <row r="13" ht="30" customHeight="1" s="46">
      <c r="A13" s="80" t="n"/>
      <c r="B13" s="80" t="n"/>
      <c r="C13" s="80" t="n"/>
      <c r="D13" s="80" t="n"/>
      <c r="E13" s="80" t="n"/>
      <c r="F13" s="80" t="n"/>
      <c r="G13" s="80" t="n"/>
      <c r="H13" s="80" t="n"/>
      <c r="I13" s="80" t="n"/>
    </row>
    <row r="14" ht="30" customHeight="1" s="46">
      <c r="A14" s="77" t="n"/>
      <c r="B14" s="77" t="n"/>
      <c r="C14" s="77" t="n"/>
      <c r="D14" s="77" t="n"/>
      <c r="E14" s="77" t="n"/>
      <c r="F14" s="77" t="n"/>
      <c r="G14" s="77" t="n"/>
      <c r="H14" s="77" t="n"/>
      <c r="I14" s="77" t="n"/>
    </row>
    <row r="15" ht="25.5" customHeight="1" s="46">
      <c r="A15" s="80" t="n"/>
      <c r="B15" s="80" t="n"/>
      <c r="C15" s="80" t="n"/>
      <c r="D15" s="80" t="n"/>
      <c r="E15" s="80" t="n"/>
      <c r="F15" s="80" t="n"/>
      <c r="G15" s="80" t="n"/>
      <c r="H15" s="80" t="n"/>
      <c r="I15" s="80" t="n"/>
    </row>
    <row r="16" ht="25.5" customHeight="1" s="46">
      <c r="A16" s="77" t="n"/>
      <c r="B16" s="77" t="n"/>
      <c r="C16" s="77" t="n"/>
      <c r="D16" s="77" t="n"/>
      <c r="E16" s="77" t="n"/>
      <c r="F16" s="77" t="n"/>
      <c r="G16" s="77" t="n"/>
      <c r="H16" s="77" t="n"/>
      <c r="I16" s="77" t="n"/>
    </row>
    <row r="17" ht="25.5" customHeight="1" s="46">
      <c r="A17" s="80" t="n"/>
      <c r="B17" s="80" t="n"/>
      <c r="C17" s="80" t="n"/>
      <c r="D17" s="80" t="n"/>
      <c r="E17" s="80" t="n"/>
      <c r="F17" s="80" t="n"/>
      <c r="G17" s="80" t="n"/>
      <c r="H17" s="80" t="n"/>
      <c r="I17" s="80" t="n"/>
    </row>
    <row r="18" ht="25.5" customHeight="1" s="46">
      <c r="A18" s="77" t="n"/>
      <c r="B18" s="77" t="n"/>
      <c r="C18" s="77" t="n"/>
      <c r="D18" s="77" t="n"/>
      <c r="E18" s="77" t="n"/>
      <c r="F18" s="77" t="n"/>
      <c r="G18" s="77" t="n"/>
      <c r="H18" s="77" t="n"/>
      <c r="I18" s="77" t="n"/>
    </row>
    <row r="19" ht="25.5" customHeight="1" s="46">
      <c r="A19" s="80" t="n"/>
      <c r="B19" s="80" t="n"/>
      <c r="C19" s="80" t="n"/>
      <c r="D19" s="80" t="n"/>
      <c r="E19" s="80" t="n"/>
      <c r="F19" s="80" t="n"/>
      <c r="G19" s="80" t="n"/>
      <c r="H19" s="80" t="n"/>
      <c r="I19" s="80" t="n"/>
    </row>
    <row r="20" ht="25.5" customHeight="1" s="46">
      <c r="A20" s="77" t="n"/>
      <c r="B20" s="77" t="n"/>
      <c r="C20" s="77" t="n"/>
      <c r="D20" s="77" t="n"/>
      <c r="E20" s="77" t="n"/>
      <c r="F20" s="77" t="n"/>
      <c r="G20" s="77" t="n"/>
      <c r="H20" s="77" t="n"/>
      <c r="I20" s="77" t="n"/>
    </row>
    <row r="21" ht="25.5" customHeight="1" s="46">
      <c r="A21" s="80" t="n"/>
      <c r="B21" s="80" t="n"/>
      <c r="C21" s="80" t="n"/>
      <c r="D21" s="80" t="n"/>
      <c r="E21" s="80" t="n"/>
      <c r="F21" s="80" t="n"/>
      <c r="G21" s="80" t="n"/>
      <c r="H21" s="80" t="n"/>
      <c r="I21" s="80" t="n"/>
    </row>
    <row r="22" ht="25.5" customHeight="1" s="46"/>
    <row r="23" ht="25.5" customHeight="1" s="46">
      <c r="C23" s="88" t="inlineStr">
        <is>
          <t>This sheet:</t>
        </is>
      </c>
      <c r="D23" s="89">
        <f>COUNTIF($F$8:$F$18,"Green")</f>
        <v/>
      </c>
      <c r="E23" s="90">
        <f>COUNTIF($F$8:$F$18,"Amber")</f>
        <v/>
      </c>
      <c r="F23" s="91">
        <f>COUNTIF($F$8:$F$18,"Red")</f>
        <v/>
      </c>
    </row>
    <row r="24" ht="25.5" customHeight="1" s="46">
      <c r="D24" s="92" t="inlineStr">
        <is>
          <t>Green</t>
        </is>
      </c>
      <c r="E24" s="92" t="inlineStr">
        <is>
          <t>Amber</t>
        </is>
      </c>
      <c r="F24" s="92" t="inlineStr">
        <is>
          <t>Red</t>
        </is>
      </c>
    </row>
    <row r="25" ht="25.5" customHeight="1" s="46"/>
    <row r="26" ht="25.5" customHeight="1" s="46"/>
    <row r="27" ht="15" customHeight="1" s="46"/>
    <row r="28" ht="15" customHeight="1" s="46"/>
  </sheetData>
  <mergeCells count="5">
    <mergeCell ref="A2:I2"/>
    <mergeCell ref="B3:C3"/>
    <mergeCell ref="A1:I1"/>
    <mergeCell ref="E3:F3"/>
    <mergeCell ref="H3:I3"/>
  </mergeCells>
  <conditionalFormatting sqref="F6:F26">
    <cfRule type="cellIs" rank="0" priority="2" equalAverage="0" operator="equal" aboveAverage="0" dxfId="0" text="" percent="0" bottom="0">
      <formula>"Green"</formula>
    </cfRule>
    <cfRule type="cellIs" rank="0" priority="3" equalAverage="0" operator="equal" aboveAverage="0" dxfId="3" text="" percent="0" bottom="0">
      <formula>"Amber"</formula>
    </cfRule>
    <cfRule type="cellIs" rank="0" priority="4" equalAverage="0" operator="equal" aboveAverage="0" dxfId="4" text="" percent="0" bottom="0">
      <formula>"Red"</formula>
    </cfRule>
  </conditionalFormatting>
  <dataValidations count="4">
    <dataValidation sqref="B6:B26" showDropDown="0" showInputMessage="0" showErrorMessage="0" allowBlank="1" errorTitle="Choose from the list" error="Pick a value from the list." type="list" errorStyle="stop" operator="between">
      <formula1>"BUILD,GROW,LAUNCH"</formula1>
      <formula2>0</formula2>
    </dataValidation>
    <dataValidation sqref="C6:C26" showDropDown="0" showInputMessage="0" showErrorMessage="0" allowBlank="1" errorTitle="Choose from the list" error="Pick a value from the list." type="list" errorStyle="stop" operator="between">
      <formula1>"English,Maths,Science,PSHE / RSE,RE,Humanities,Arts (Arts Award),PE,Careers / Vocational (ASDAN),Computing / Digital,Personal Development / PfA"</formula1>
      <formula2>0</formula2>
    </dataValidation>
    <dataValidation sqref="F6:F26" showDropDown="0" showInputMessage="0" showErrorMessage="0" allowBlank="1" errorTitle="Choose from the list" error="Pick a value from the list." type="list" errorStyle="stop" operator="between">
      <formula1>"Green,Amber,Red"</formula1>
      <formula2>0</formula2>
    </dataValidation>
    <dataValidation sqref="H6:H26" showDropDown="0" showInputMessage="0" showErrorMessage="0" allowBlank="1" errorTitle="Choose from the list" error="Pick a value from the list." type="list" errorStyle="stop" operator="between">
      <formula1>"Achieved (move on),Revisit in class,Intervention"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2026-06-22T07:46:21Z</dcterms:created>
  <dcterms:modified xsi:type="dcterms:W3CDTF">2026-07-29T16:31:02Z</dcterms:modified>
  <cp:lastModifiedBy>Hanna Kemp</cp:lastModifiedBy>
  <cp:revision>0</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0x0101002C6E38C4B2056147BFEE88C7F682B392</vt:lpwstr>
  </property>
  <property name="MediaServiceImageTags" fmtid="{D5CDD505-2E9C-101B-9397-08002B2CF9AE}" pid="3">
    <vt:lpwstr/>
  </property>
</Properties>
</file>