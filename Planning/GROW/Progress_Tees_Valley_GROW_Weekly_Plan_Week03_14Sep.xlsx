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color rgb="FF566159"/>
      <sz val="10"/>
    </font>
    <font>
      <name val="Arial"/>
      <charset val="1"/>
      <family val="0"/>
      <b val="1"/>
      <color rgb="FF566159"/>
      <sz val="9"/>
    </font>
    <font>
      <name val="Arial"/>
      <charset val="1"/>
      <family val="0"/>
      <b val="1"/>
      <color rgb="FF1B2420"/>
      <sz val="10"/>
    </font>
    <font>
      <name val="Arial"/>
      <charset val="1"/>
      <family val="0"/>
      <b val="1"/>
      <color rgb="FF2E7D4F"/>
      <sz val="10"/>
    </font>
    <font>
      <name val="Arial"/>
      <charset val="1"/>
      <family val="0"/>
      <color rgb="FF2E2A5D"/>
      <sz val="9"/>
    </font>
    <font>
      <name val="Arial"/>
      <charset val="1"/>
      <family val="0"/>
      <b val="1"/>
      <color rgb="FFFFFFFF"/>
      <sz val="9"/>
    </font>
    <font>
      <name val="Arial"/>
      <charset val="1"/>
      <family val="0"/>
      <b val="1"/>
      <color rgb="FF1B2420"/>
      <sz val="9"/>
    </font>
    <font>
      <name val="Arial"/>
      <charset val="1"/>
      <family val="2"/>
      <color rgb="FF000000"/>
      <sz val="9"/>
    </font>
    <font>
      <name val="Aptos"/>
      <charset val="1"/>
      <family val="2"/>
      <color rgb="FF000000"/>
      <sz val="10"/>
    </font>
    <font>
      <name val="Arial"/>
      <charset val="1"/>
      <family val="0"/>
      <color rgb="FF1B2420"/>
      <sz val="9"/>
    </font>
    <font>
      <name val="Arial"/>
      <charset val="1"/>
      <family val="2"/>
      <color rgb="FF1B2420"/>
      <sz val="9"/>
    </font>
    <font>
      <name val="Aptos"/>
      <charset val="1"/>
      <family val="2"/>
      <color rgb="FF222222"/>
      <sz val="9"/>
    </font>
    <font>
      <name val="Arial"/>
      <charset val="1"/>
      <family val="0"/>
      <i val="1"/>
      <color rgb="FF566159"/>
      <sz val="8"/>
    </font>
    <font>
      <name val="Arial"/>
      <charset val="1"/>
      <family val="0"/>
      <b val="1"/>
      <color rgb="FFFFFFFF"/>
      <sz val="16"/>
    </font>
    <font>
      <name val="Arial"/>
      <charset val="1"/>
      <family val="0"/>
      <color theme="1"/>
      <sz val="9"/>
    </font>
    <font>
      <name val="Calibri"/>
      <charset val="1"/>
      <family val="2"/>
      <b val="1"/>
      <color theme="1"/>
      <sz val="11"/>
    </font>
    <font>
      <name val="Arial"/>
      <charset val="1"/>
      <family val="2"/>
      <b val="1"/>
      <color rgb="FFFFFFFF"/>
      <sz val="16"/>
    </font>
    <font>
      <name val="Arial"/>
      <charset val="1"/>
      <family val="2"/>
      <sz val="10"/>
    </font>
    <font>
      <name val="Arial"/>
      <charset val="1"/>
      <family val="2"/>
      <sz val="9"/>
    </font>
    <font>
      <name val="Arial"/>
      <charset val="1"/>
      <family val="0"/>
      <b val="1"/>
      <color rgb="FFFFFFFF"/>
      <sz val="10"/>
    </font>
    <font>
      <name val="Arial"/>
      <charset val="1"/>
      <family val="0"/>
      <color rgb="FF566159"/>
      <sz val="8"/>
    </font>
  </fonts>
  <fills count="10">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3">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style="thin">
        <color rgb="FFC3CDC1"/>
      </bottom>
      <diagonal/>
    </border>
    <border>
      <left style="thin"/>
      <right style="thin"/>
      <top style="thin"/>
      <bottom style="thin"/>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5" borderId="4" applyAlignment="1" pivotButton="0" quotePrefix="0" xfId="0">
      <alignment horizontal="left" vertical="top" wrapText="1"/>
    </xf>
    <xf numFmtId="0" fontId="15" fillId="5" borderId="3" applyAlignment="1" pivotButton="0" quotePrefix="0" xfId="0">
      <alignment horizontal="left" vertical="center"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15" fillId="6" borderId="3" applyAlignment="1" pivotButton="0" quotePrefix="0" xfId="0">
      <alignment horizontal="general" vertical="top" wrapText="1"/>
    </xf>
    <xf numFmtId="0" fontId="17" fillId="0" borderId="0" applyAlignment="1" pivotButton="0" quotePrefix="0" xfId="0">
      <alignment horizontal="left" vertical="center"/>
    </xf>
    <xf numFmtId="0" fontId="18" fillId="2" borderId="0" applyAlignment="1" pivotButton="0" quotePrefix="0" xfId="0">
      <alignment horizontal="left" vertical="center"/>
    </xf>
    <xf numFmtId="49" fontId="14" fillId="5" borderId="3" applyAlignment="1" pivotButton="0" quotePrefix="0" xfId="0">
      <alignment horizontal="left" vertical="center" wrapText="1"/>
    </xf>
    <xf numFmtId="0" fontId="19"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0"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5" borderId="3" applyAlignment="1" pivotButton="0" quotePrefix="0" xfId="0">
      <alignment horizontal="left" vertical="center" wrapText="1"/>
    </xf>
    <xf numFmtId="0" fontId="21" fillId="2" borderId="0" applyAlignment="1" pivotButton="0" quotePrefix="0" xfId="0">
      <alignment horizontal="left" vertical="center"/>
    </xf>
    <xf numFmtId="0" fontId="22" fillId="0" borderId="0" applyAlignment="1" pivotButton="0" quotePrefix="0" xfId="0">
      <alignment horizontal="left" vertical="center"/>
    </xf>
    <xf numFmtId="0" fontId="10" fillId="7" borderId="0" applyAlignment="1" pivotButton="0" quotePrefix="0" xfId="0">
      <alignment horizontal="center" vertical="center"/>
    </xf>
    <xf numFmtId="0" fontId="23"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0" fillId="5" borderId="3" applyAlignment="1" pivotButton="0" quotePrefix="0" xfId="0">
      <alignment horizontal="left" vertical="center" wrapText="1"/>
    </xf>
    <xf numFmtId="0" fontId="0" fillId="6" borderId="3" applyAlignment="1" pivotButton="0" quotePrefix="0" xfId="0">
      <alignment horizontal="left" vertical="center" wrapText="1"/>
    </xf>
    <xf numFmtId="0" fontId="6" fillId="0" borderId="0" applyAlignment="1" pivotButton="0" quotePrefix="0" xfId="0">
      <alignment horizontal="general" vertical="bottom"/>
    </xf>
    <xf numFmtId="0" fontId="24" fillId="7" borderId="0" applyAlignment="1" pivotButton="0" quotePrefix="0" xfId="0">
      <alignment horizontal="center" vertical="center"/>
    </xf>
    <xf numFmtId="0" fontId="24" fillId="8" borderId="0" applyAlignment="1" pivotButton="0" quotePrefix="0" xfId="0">
      <alignment horizontal="center" vertical="center"/>
    </xf>
    <xf numFmtId="0" fontId="24" fillId="9" borderId="0" applyAlignment="1" pivotButton="0" quotePrefix="0" xfId="0">
      <alignment horizontal="center" vertical="center"/>
    </xf>
    <xf numFmtId="0" fontId="25"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7" pivotButton="0" quotePrefix="0" xfId="0"/>
    <xf numFmtId="0" fontId="0" fillId="0" borderId="8" pivotButton="0" quotePrefix="0" xfId="0"/>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5" borderId="4" applyAlignment="1" pivotButton="0" quotePrefix="0" xfId="0">
      <alignment horizontal="left" vertical="top" wrapText="1"/>
    </xf>
    <xf numFmtId="0" fontId="15" fillId="5" borderId="3" applyAlignment="1" pivotButton="0" quotePrefix="0" xfId="0">
      <alignment horizontal="left" vertical="center"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0" fillId="0" borderId="11" pivotButton="0" quotePrefix="0" xfId="0"/>
    <xf numFmtId="0" fontId="0" fillId="0" borderId="12" pivotButton="0" quotePrefix="0" xfId="0"/>
    <xf numFmtId="0" fontId="15" fillId="6" borderId="3" applyAlignment="1" pivotButton="0" quotePrefix="0" xfId="0">
      <alignment horizontal="general" vertical="top" wrapText="1"/>
    </xf>
    <xf numFmtId="0" fontId="17" fillId="0" borderId="0" applyAlignment="1" pivotButton="0" quotePrefix="0" xfId="0">
      <alignment horizontal="left" vertical="center"/>
    </xf>
    <xf numFmtId="0" fontId="18" fillId="2" borderId="0" applyAlignment="1" pivotButton="0" quotePrefix="0" xfId="0">
      <alignment horizontal="left" vertical="center"/>
    </xf>
    <xf numFmtId="49" fontId="14" fillId="5" borderId="3" applyAlignment="1" pivotButton="0" quotePrefix="0" xfId="0">
      <alignment horizontal="left" vertical="center" wrapText="1"/>
    </xf>
    <xf numFmtId="0" fontId="19"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0"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5" borderId="3" applyAlignment="1" pivotButton="0" quotePrefix="0" xfId="0">
      <alignment horizontal="left" vertical="center" wrapText="1"/>
    </xf>
    <xf numFmtId="0" fontId="21" fillId="2" borderId="0" applyAlignment="1" pivotButton="0" quotePrefix="0" xfId="0">
      <alignment horizontal="left" vertical="center"/>
    </xf>
    <xf numFmtId="0" fontId="22" fillId="0" borderId="0" applyAlignment="1" pivotButton="0" quotePrefix="0" xfId="0">
      <alignment horizontal="left" vertical="center"/>
    </xf>
    <xf numFmtId="0" fontId="10" fillId="7" borderId="0" applyAlignment="1" pivotButton="0" quotePrefix="0" xfId="0">
      <alignment horizontal="center" vertical="center"/>
    </xf>
    <xf numFmtId="0" fontId="23"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6" fillId="0" borderId="0" applyAlignment="1" pivotButton="0" quotePrefix="0" xfId="0">
      <alignment horizontal="general" vertical="bottom"/>
    </xf>
    <xf numFmtId="0" fontId="24" fillId="7" borderId="0" applyAlignment="1" pivotButton="0" quotePrefix="0" xfId="0">
      <alignment horizontal="center" vertical="center"/>
    </xf>
    <xf numFmtId="0" fontId="24" fillId="8" borderId="0" applyAlignment="1" pivotButton="0" quotePrefix="0" xfId="0">
      <alignment horizontal="center" vertical="center"/>
    </xf>
    <xf numFmtId="0" fontId="24" fillId="9" borderId="0" applyAlignment="1" pivotButton="0" quotePrefix="0" xfId="0">
      <alignment horizontal="center" vertical="center"/>
    </xf>
    <xf numFmtId="0" fontId="25"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4"/>
  <sheetViews>
    <sheetView showFormulas="0" showGridLines="0" showRowColHeaders="1" showZeros="1" rightToLeft="0" tabSelected="1" showOutlineSymbols="1" defaultGridColor="1" view="normal" topLeftCell="A1" colorId="64" zoomScale="100" zoomScaleNormal="100" zoomScalePageLayoutView="100" workbookViewId="0">
      <pane xSplit="0" ySplit="9" topLeftCell="A13" activePane="bottomLeft" state="frozen"/>
      <selection pane="topLeft" activeCell="A1" activeCellId="0" sqref="A1"/>
      <selection pane="bottomLeft" activeCell="F13" activeCellId="0" sqref="F13"/>
    </sheetView>
  </sheetViews>
  <sheetFormatPr baseColWidth="8" defaultColWidth="8.5625" defaultRowHeight="14.25" zeroHeight="0" outlineLevelRow="0"/>
  <cols>
    <col width="18" customWidth="1" style="46" min="1" max="1"/>
    <col width="20" customWidth="1" style="46" min="2" max="2"/>
    <col width="26" customWidth="1" style="46" min="3" max="4"/>
    <col width="16" customWidth="1" style="46" min="5" max="5"/>
    <col width="20" customWidth="1" style="46" min="6" max="6"/>
    <col width="10" customWidth="1" style="46" min="7" max="7"/>
    <col width="26" customWidth="1" style="46" min="8" max="8"/>
    <col width="22" customWidth="1" style="46" min="9" max="10"/>
  </cols>
  <sheetData>
    <row r="1" ht="30" customHeight="1" s="47">
      <c r="A1" s="48" t="inlineStr">
        <is>
          <t>Weekly Planner - To be submitted to Head of School prior to the start of each Half-Term</t>
        </is>
      </c>
    </row>
    <row r="2" ht="14.25" customHeight="1" s="47">
      <c r="A2" s="49" t="inlineStr">
        <is>
          <t>Progress Schools  ·  linked to the 2026/27 Schemes of Work</t>
        </is>
      </c>
    </row>
    <row r="3"/>
    <row r="4" ht="19.5" customHeight="1" s="47">
      <c r="A4" s="50" t="inlineStr">
        <is>
          <t>Pathway</t>
        </is>
      </c>
      <c r="B4" s="51" t="inlineStr">
        <is>
          <t>GROW</t>
        </is>
      </c>
      <c r="D4" s="46" t="n">
        <v>3</v>
      </c>
      <c r="F4" s="50" t="inlineStr">
        <is>
          <t>Week no.</t>
        </is>
      </c>
      <c r="G4" s="51" t="n">
        <v>3</v>
      </c>
    </row>
    <row r="5" ht="19.5" customHeight="1" s="47">
      <c r="A5" s="50" t="inlineStr">
        <is>
          <t>Term</t>
        </is>
      </c>
      <c r="B5" s="51" t="inlineStr">
        <is>
          <t>Autumn</t>
        </is>
      </c>
      <c r="F5" s="50" t="inlineStr">
        <is>
          <t>Group / class</t>
        </is>
      </c>
      <c r="G5" s="51" t="n"/>
    </row>
    <row r="6" ht="19.5" customHeight="1" s="47">
      <c r="A6" s="50" t="inlineStr">
        <is>
          <t>Theme</t>
        </is>
      </c>
      <c r="B6" s="52">
        <f>IF(B5="Autumn","Identity &amp; Belonging",IF(B5="Spring","Resilience &amp; Change",IF(B5="Summer","Our World, My Future","pick a term")))</f>
        <v/>
      </c>
      <c r="C6" s="53" t="n"/>
      <c r="D6" s="53" t="n"/>
      <c r="F6" s="50" t="inlineStr">
        <is>
          <t>Teacher</t>
        </is>
      </c>
      <c r="G6" s="51" t="n"/>
    </row>
    <row r="7" ht="19.5" customHeight="1" s="47">
      <c r="A7" s="50" t="inlineStr">
        <is>
          <t>Week commencing</t>
        </is>
      </c>
      <c r="B7" s="54" t="n">
        <v>46279</v>
      </c>
      <c r="F7" s="50" t="inlineStr">
        <is>
          <t>Reviewed by</t>
        </is>
      </c>
      <c r="G7" s="51" t="n"/>
    </row>
    <row r="8" ht="33.75" customHeight="1" s="47">
      <c r="A8" s="55" t="inlineStr">
        <is>
          <t>SMSC/BV this week: Grow RE begins the festivals-of-light block (Diwali) — pre-teaching ahead of the November festival; photos start the Festivals-of-Light display (evidence platform: cultural).  PREP: International Day of Peace is Monday of next week.</t>
        </is>
      </c>
      <c r="B8" s="56" t="n"/>
      <c r="C8" s="56" t="n"/>
      <c r="D8" s="56" t="n"/>
      <c r="E8" s="56" t="n"/>
      <c r="F8" s="56" t="n"/>
      <c r="G8" s="56" t="n"/>
      <c r="H8" s="56" t="n"/>
      <c r="I8" s="56" t="n"/>
      <c r="J8" s="57" t="n"/>
    </row>
    <row r="9" ht="30" customHeight="1" s="47">
      <c r="A9" s="58" t="inlineStr">
        <is>
          <t>Subject</t>
        </is>
      </c>
      <c r="B9" s="58" t="inlineStr">
        <is>
          <t>SoW unit (this term)</t>
        </is>
      </c>
      <c r="C9" s="58" t="inlineStr">
        <is>
          <t>This week's outcome</t>
        </is>
      </c>
      <c r="D9" s="58" t="inlineStr">
        <is>
          <t>Activities</t>
        </is>
      </c>
      <c r="E9" s="58" t="inlineStr">
        <is>
          <t>Key vocabulary</t>
        </is>
      </c>
      <c r="F9" s="58" t="inlineStr">
        <is>
          <t>Resources required</t>
        </is>
      </c>
      <c r="G9" s="58" t="inlineStr">
        <is>
          <t>Assess. (F/S)</t>
        </is>
      </c>
      <c r="H9" s="58" t="inlineStr">
        <is>
          <t>Student adaptations</t>
        </is>
      </c>
      <c r="I9" s="58" t="inlineStr">
        <is>
          <t>Classroom support</t>
        </is>
      </c>
      <c r="J9" s="58" t="inlineStr">
        <is>
          <t>Evaluation (after teaching)</t>
        </is>
      </c>
    </row>
    <row r="10" ht="330" customHeight="1" s="47">
      <c r="A10" s="59" t="inlineStr">
        <is>
          <t>English</t>
        </is>
      </c>
      <c r="B10" s="60" t="inlineStr">
        <is>
          <t>Identity in fiction &amp; life writing: key vocabulary and how writers show identity and belonging.</t>
        </is>
      </c>
      <c r="C10" s="60" t="inlineStr">
        <is>
          <t>I can explain how one word or detail helps show identity or belonging.</t>
        </is>
      </c>
      <c r="D10" s="60" t="inlineStr">
        <is>
          <t>Arrival task: vocabulary match → pre-teach 4-5 key words → reread a short moment → teacher models 'this word suggests...' → students annotate one word/detail → complete one explanation sentence.</t>
        </is>
      </c>
      <c r="E10" s="60" t="inlineStr">
        <is>
          <t>vocabulary, suggests, identity, belonging, viewpoint, word choice, detail</t>
        </is>
      </c>
      <c r="F10" s="61" t="inlineStr">
        <is>
          <t>Vocabulary cards; extract; word zoom sheet; model sentence; visual glossary; reading-journal page.</t>
        </is>
      </c>
      <c r="G10" s="62" t="inlineStr">
        <is>
          <t>F</t>
        </is>
      </c>
      <c r="H10" s="61" t="inlineStr">
        <is>
          <t>Use visuals/synonyms; offer word bank; one-word zoom only; scaffolded sentence starters; confidence scale before written response.</t>
        </is>
      </c>
      <c r="I10" s="61" t="inlineStr">
        <is>
          <t>TA checks vocabulary understanding and supports students to choose one word. Teacher models concise explanation and gathers evidence of AO-style language response.
LOOP [Feedback Policy]: Voice = short margin edit / re-attempt [//, I/WS] → Audience: read the edit and name the change before adding [R]; one next step [NS] → EVIDENCE: coded book edit; clips for oracy [E: literacy] — live; deferred response only for extended writing.</t>
        </is>
      </c>
      <c r="J10" s="62" t="inlineStr">
        <is>
          <t>To complete after teaching: note vocabulary gaps and students who can explain word choice with support.  → Influence: shapes the next scaffold and the half-termly plan; SPaG routes to spelling intervention, not margin marking [NS].</t>
        </is>
      </c>
    </row>
    <row r="11" ht="330" customHeight="1" s="47">
      <c r="A11" s="63" t="inlineStr">
        <is>
          <t>Maths</t>
        </is>
      </c>
      <c r="B11" s="64" t="inlineStr">
        <is>
          <t>Place value &amp; the four operations</t>
        </is>
      </c>
      <c r="C11" s="64" t="inlineStr">
        <is>
          <t>I can add and subtract numbers using efficient written methods to solve mathematical problems.</t>
        </is>
      </c>
      <c r="D11" s="64" t="inlineStr">
        <is>
          <t>Practise formal written methods for addition and subtraction.
Use column addition and column subtraction to solve calculations accurately.
Apply exchanging and regrouping strategies where needed.
Check answers using inverse operations and estimation.
Solve word problems involving addition and subtraction in real-life contexts.
Compare different calculation methods and choose the most efficient strategy.
Develop fluency through independent, paired and practical activities.
Till-roll challenge: add up a real shopping list with column addition, then PROVE the total with coins — partner checks by the inverse operation; photograph the receipts as evidence.</t>
        </is>
      </c>
      <c r="E11" s="64" t="inlineStr">
        <is>
          <t>Add
Addition
Sum
Total
Subtract
Subtraction
Difference
Calculate
Column method
Exchange
Regroup
Digit
Place value
Estimate
Inverse
Accuracy
Method
Problem-solving</t>
        </is>
      </c>
      <c r="F11" s="64" t="inlineStr">
        <is>
          <t>Place value charts
Whiteboards and pens
Squared paper
Number lines
Place value counters
Calculators (for checking)
Real coins/notes and till-roll receipts
Interactive whiteboard resources
Vocabulary mats
Real-life word problem cards</t>
        </is>
      </c>
      <c r="G11" s="64" t="inlineStr">
        <is>
          <t>F</t>
        </is>
      </c>
      <c r="H11" s="65" t="inlineStr">
        <is>
          <t>Use concrete resources such as place value counters to support understanding.
Provide place value grids and worked examples.
Break calculations into small, manageable steps.
Use colour coding to support place value alignment.
Provide vocabulary mats and calculation prompts.
Offer guided practice and additional adult support where needed.
Extend learning through multi-step calculations and problem-solving challenges.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1" s="65" t="inlineStr">
        <is>
          <t>Teacher modelling of efficient written methods for addition and subtraction.
Guided group work to reinforce key skills and address misconceptions.
Regular reinforcement of mathematical vocabulary.
Visual aids and practical resources available throughout lessons.
Targeted questioning to develop reasoning and confidence.
Ongoing assessment through observation, discussion and marking.
Positive feedback and opportunities for peer support and collaborative learning.
LOOP [Feedback Policy]: Voice = mini-whiteboard show-me / re-do, verbal reply [VF, I] → Audience: name the corrected step back and tick the success criteria; [R] on an accurate re-do → EVIDENCE: photo of the practical proof + book note, same day [E: numeracy/vocational — daily evidence platform].</t>
        </is>
      </c>
      <c r="J11" s="64" t="inlineStr">
        <is>
          <t>Influence: next task adapted; who needs the method re-modelled shapes grouping and the half-termly plan [NS].</t>
        </is>
      </c>
    </row>
    <row r="12" ht="339.75" customHeight="1" s="47">
      <c r="A12" s="59" t="inlineStr">
        <is>
          <t>Science</t>
        </is>
      </c>
      <c r="B12" s="62" t="inlineStr">
        <is>
          <t>White Rose Science Year 5/6 - Aut1·W3</t>
        </is>
      </c>
      <c r="C12" s="66" t="inlineStr">
        <is>
          <t>I can explain what friction does and give examples where it helps and where it hinders.</t>
        </is>
      </c>
      <c r="D12" s="67" t="inlineStr">
        <is>
          <t>v5 whiteboard deck 'Friction: Friend and Enemy': Define friction properly; Helpful vs unhelpful; Predict and test two surfaces. Runs across BOTH weekly 40-min periods: Period 1 → up to We Do 2; Period 2 = extended Independent Work → Lundy → Exit, where the practical and the Assessor Witness evidence are made. One print pack covers both periods.</t>
        </is>
      </c>
      <c r="E12" s="67" t="inlineStr">
        <is>
          <t>friction, surface, grip, wear, lubricant</t>
        </is>
      </c>
      <c r="F12" s="67" t="inlineStr">
        <is>
          <t>Science_Teesside/Grow/SCI_G_W3_Friction.html (3-tier print pack off the title slide)</t>
        </is>
      </c>
      <c r="G12" s="62" t="inlineStr">
        <is>
          <t>F</t>
        </is>
      </c>
      <c r="H12" s="67" t="inlineStr">
        <is>
          <t>Tiered 3 ways (Supported/Standard/Stretch) at arrival, independent work and exit. Forces work is noisy and physical - trolleys, ramps, dropped masses. Agree the noise signal before equipment comes out, and offer ear defenders without making it a conversation. A pupil may record data instead of running the trial and still be doing the science.</t>
        </is>
      </c>
      <c r="I12" s="67" t="inlineStr">
        <is>
          <t>TA times so pupils drop and observe; adult does all dropping from height. Teacher keeps the rigged-demo memory alive: 'why was that unfair?'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is>
      </c>
      <c r="J12" s="62" t="inlineStr">
        <is>
          <t>Note who spots the unfair demo unprompted; note who changes more than one thing.  → Influence: the same fair-test frame runs W4 and W5 — continuity lowers anxiety [NS].</t>
        </is>
      </c>
    </row>
    <row r="13" ht="330" customHeight="1" s="47">
      <c r="A13" s="63" t="inlineStr">
        <is>
          <t>PSHE / RSE</t>
        </is>
      </c>
      <c r="B13" s="64" t="inlineStr">
        <is>
          <t>Identity, rights &amp; British values (PSHE Association KS3 + ACT) · AQA UAS 'Rights &amp; responsibilities' · SoW Aut1·W3</t>
        </is>
      </c>
      <c r="C13" s="64" t="inlineStr">
        <is>
          <t>I can explain how democracy gives people a say, and take part in a fair vote.</t>
        </is>
      </c>
      <c r="D13" s="64" t="inlineStr">
        <is>
          <t>Builds on the W2 class charter: run a REAL class election — two 'parties' pitch a rec-time policy, film a 30-second campaign ad (phone video) → secret ballot with a real ballot box → count the votes in front of everyone → debrief: why do fair votes need rules?  EVIDENCE: campaign videos + ballot-count photos (AQA UAS 'Rights &amp; responsibilities').  GCSE STRETCH: 'representative democracy' — who speaks for us, and how? → bridges to GCSE Citizenship Studies (AQA 8100).</t>
        </is>
      </c>
      <c r="E13" s="64" t="inlineStr">
        <is>
          <t>democracy, vote, ballot, majority, candidate, fair</t>
        </is>
      </c>
      <c r="F13" s="64" t="inlineStr">
        <is>
          <t>Ballot box + slips; campaign poster/video materials; phone/camera; ACT democracy resources; winning policy honoured for real.</t>
        </is>
      </c>
      <c r="G13" s="64" t="inlineStr">
        <is>
          <t>F</t>
        </is>
      </c>
      <c r="H13" s="64" t="inlineStr">
        <is>
          <t>Campaigning by video/poster — no extended writing; voting is private so nobody's choice is exposed.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3" s="64" t="inlineStr">
        <is>
          <t>TA supports each party's pitch prep; teacher acts as returning officer and honours the winning policy (democracy has to be real to land); live feedback at the count.
LOOP [Feedback Policy]: Voice = campaign video / freeze-frame / card + verbal reply [VF] → Audience: name the strength back + one [NS]; listen to clips fully before tagging, then [R] → EVIDENCE: video/card photo to evidence platform, same day [E: PfA/citizenship/social enterprise — daily evidence platform].</t>
        </is>
      </c>
      <c r="J13" s="64" t="inlineStr">
        <is>
          <t>Influence: the W7 pitch shapes the W8 real action; outcomes feed APDR and the citizenship ladder [NS].</t>
        </is>
      </c>
    </row>
    <row r="14" ht="330" customHeight="1" s="47">
      <c r="A14" s="59" t="inlineStr">
        <is>
          <t>RE</t>
        </is>
      </c>
      <c r="B14" s="62" t="inlineStr">
        <is>
          <t>Belief, festivals &amp; belonging (Geography, Kapow + RE)</t>
        </is>
      </c>
      <c r="C14" s="66" t="inlineStr">
        <is>
          <t>I can explain the meaning of Diwali and describe why it is important to Hindus.</t>
        </is>
      </c>
      <c r="D14" s="67" t="inlineStr">
        <is>
          <t>Arrival: light an LED diya in a darkened room — what changes when light arrives? → the story of Rama and Sita told with props/shadow puppets → hands-on rotation: rangoli patterns in coloured sand/rice, clay diya making, mehndi-pattern design → each pupil records a 20-second explanation of what Diwali celebrates over a photo of their make.  EVIDENCE: makes + recorded explanations (AQA UAS).  GCSE STRETCH: use the word 'symbolism' correctly in your explanation → bridges to GCSE RS.</t>
        </is>
      </c>
      <c r="E14" s="67" t="inlineStr">
        <is>
          <t>Diwali
Hinduism
Festival
Celebration
Diya
Light
Darkness
Rama
Sita
Lakshmi
Rangoli
Prayer
Tradition
Good
Evil
Community
Worship</t>
        </is>
      </c>
      <c r="F14" s="67" t="inlineStr">
        <is>
          <t>LED diyas/tealights; shadow-puppet or prop set for the Rama &amp; Sita story; coloured sand/rice; clay; pattern sheets; camera/voice recorder.</t>
        </is>
      </c>
      <c r="G14" s="62" t="inlineStr">
        <is>
          <t>F</t>
        </is>
      </c>
      <c r="H14" s="67" t="inlineStr">
        <is>
          <t>Making and telling, not writing; the recorded explanation IS the assessment.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4" s="67" t="inlineStr">
        <is>
          <t>TA runs one rotation station and records explanations; teacher narrates the story theatrically and drops 'light over darkness' in at every station — live verbal feedback throughout.
LOOP [Feedback Policy]: Voice = defended bid / make + spoken reason / W5 paragraph [VF, //] → Audience: name the comparison back; for the W5 write, one [NS] then response time; [R] after received → EVIDENCE: photo of make/web + W5 paragraph in book [E: RE/enrichment] — W5 deferred.</t>
        </is>
      </c>
      <c r="J14" s="62" t="inlineStr">
        <is>
          <t>Influence: who compares vs describes shapes next week's stem and the half-termly plan [NS].</t>
        </is>
      </c>
    </row>
    <row r="15" ht="330" customHeight="1" s="47">
      <c r="A15" s="63" t="inlineStr">
        <is>
          <t>Humanities</t>
        </is>
      </c>
      <c r="B15" s="62" t="inlineStr">
        <is>
          <t>Kapow History — migration to Britain: cause &amp; consequence. Shares the Coming to England (BHM) extract with English/RE identity work.</t>
        </is>
      </c>
      <c r="C15" s="66" t="inlineStr">
        <is>
          <t>I can explain one reason people came to Britain and one thing that changed as a result.</t>
        </is>
      </c>
      <c r="D15" s="67" t="inlineStr">
        <is>
          <t>Arrival task: 'why do people move?' — sort picture reasons (jobs, safety, family) → model one cause → one consequence using arrows (came for work → new communities) → we do: build one cause-and-consequence arrow together from a source → you do: complete a 'because… so…' cause/consequence strip using picture-supported cards → exit: 'People came to Britain because…' stem.</t>
        </is>
      </c>
      <c r="E15" s="67" t="inlineStr">
        <is>
          <t>migration, move, reason, cause, consequence, community, change, Britain, Windrush, belonging</t>
        </is>
      </c>
      <c r="F15" s="67" t="inlineStr">
        <is>
          <t>Picture reason-cards; cause→consequence arrow strips; a picture-supported Windrush source (pre-saved); 'because/so' sentence mat; magenta copies; shared Coming to England extract.</t>
        </is>
      </c>
      <c r="G15" s="62" t="inlineStr">
        <is>
          <t>F</t>
        </is>
      </c>
      <c r="H15" s="67" t="inlineStr">
        <is>
          <t>Picture-supported throughout; arrow strips remove extended writing. Pre-selected source (no open searching). Chunk into cause then consequence; verbal or card answers accepted; connect to shared English vocabulary so terms are met once, not twice.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5" s="67" t="inlineStr">
        <is>
          <t>TA models one arrow then fades; teacher keeps 'cause → consequence' visible; use the same source and words as the English lesson to reduce load.
LOOP [Feedback Policy]: Voice = source verdict / timeline placement / short account [//, I] → Audience: read against the success criteria and name the change; [R] after received → EVIDENCE: coded book + enquiry photos [E: humanities] — deferred for the written account.</t>
        </is>
      </c>
      <c r="J15" s="62" t="inlineStr">
        <is>
          <t>Note who links a cause to a consequence vs who only names a reason.  → Influence: the source-use skill shapes the next enquiry's scaffold [NS].</t>
        </is>
      </c>
    </row>
    <row r="16" ht="330" customHeight="1" s="47">
      <c r="A16" s="59" t="inlineStr">
        <is>
          <t>Arts (Arts Award)</t>
        </is>
      </c>
      <c r="B16" s="62" t="inlineStr">
        <is>
          <t>Trinity Arts Award Explore (toward Bronze) — plan an identity portrait/piece; arts log.</t>
        </is>
      </c>
      <c r="C16" s="66" t="inlineStr">
        <is>
          <t>I can plan an artwork about my identity and choose the materials I will use.</t>
        </is>
      </c>
      <c r="D16" s="67" t="inlineStr">
        <is>
          <t>Arrival task: 'this is me' — pick 3 image/word cards that feel like you → model a simple plan (idea + materials + one technique) → we do: plan a class example identity piece together → you do: complete a picture-supported planning page (what I'll make / materials / colours that mean something to me) → exit: tell the TA one thing your piece will show.</t>
        </is>
      </c>
      <c r="E16" s="67" t="inlineStr">
        <is>
          <t>identity, plan, portrait, materials, colour, symbol, technique, meaning, arts log</t>
        </is>
      </c>
      <c r="F16" s="67" t="inlineStr">
        <is>
          <t>'This is me' image/word cards; picture-supported planning frame; sample identity artworks (incl. BHM artist for next week); art materials to handle; magenta copies; device for a digital log.</t>
        </is>
      </c>
      <c r="G16" s="62" t="inlineStr">
        <is>
          <t>F</t>
        </is>
      </c>
      <c r="H16" s="67" t="inlineStr">
        <is>
          <t>Choice-led and visual; planning uses pictures + short prompts, not paragraphs. Handling materials first lowers the writing barrier. Verbal plan accepted and scribed; calm workspace option. Banks Arts Award Explore evidence — photograph the plan.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6" s="67" t="inlineStr">
        <is>
          <t>TA helps choose materials and scribes the plan if needed; teacher models linking a colour/symbol to a meaning; photograph the plan for the portfolio.
LOOP [Feedback Policy]: Voice = make + arts-log photo + comment [VF] → Audience: listen fully before tagging, one next technique [NS]; then [R] → EVIDENCE: Arts Award Explore log = the accreditation evidence, same day [E: Arts Award].</t>
        </is>
      </c>
      <c r="J16" s="62" t="inlineStr">
        <is>
          <t>Note who links a choice to a personal meaning vs who chooses at random; check each pupil has a dated plan.  → Influence: the log builds toward Explore → Bronze/GCSE ladder; calibrated at moderation [NS].</t>
        </is>
      </c>
    </row>
    <row r="17" ht="45.75" customHeight="1" s="47">
      <c r="A17" s="63" t="inlineStr">
        <is>
          <t>PE</t>
        </is>
      </c>
      <c r="B17" s="64" t="n"/>
      <c r="C17" s="64" t="n"/>
      <c r="D17" s="64" t="n"/>
      <c r="E17" s="64" t="n"/>
      <c r="F17" s="64" t="n"/>
      <c r="G17" s="64" t="n"/>
      <c r="H17" s="64" t="n"/>
      <c r="I17" s="64" t="n"/>
      <c r="J17" s="64" t="n"/>
    </row>
    <row r="18" ht="45.75" customHeight="1" s="47">
      <c r="A18" s="59" t="inlineStr">
        <is>
          <t>Careers / Vocational (ASDAN)</t>
        </is>
      </c>
      <c r="B18" s="62" t="n"/>
      <c r="C18" s="62" t="n"/>
      <c r="D18" s="62" t="n"/>
      <c r="E18" s="62" t="n"/>
      <c r="F18" s="62" t="n"/>
      <c r="G18" s="62" t="n"/>
      <c r="H18" s="62" t="n"/>
      <c r="I18" s="62" t="n"/>
      <c r="J18" s="62" t="n"/>
    </row>
    <row r="20" ht="18" customHeight="1" s="47">
      <c r="A20" s="68" t="inlineStr">
        <is>
          <t>Enrichment &amp; wider opportunities this week   (trips, visitors, themed days, SMSC calendar link, PfA / community)</t>
        </is>
      </c>
    </row>
    <row r="21" ht="117.75" customHeight="1" s="47">
      <c r="A21" s="69" t="inlineStr">
        <is>
          <t>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is>
      </c>
      <c r="B21" s="70" t="n"/>
      <c r="C21" s="70" t="n"/>
      <c r="D21" s="70" t="n"/>
      <c r="E21" s="70" t="n"/>
      <c r="F21" s="70" t="n"/>
      <c r="G21" s="70" t="n"/>
      <c r="H21" s="70" t="n"/>
      <c r="I21" s="70" t="n"/>
      <c r="J21" s="71" t="n"/>
    </row>
    <row r="22" ht="18" customHeight="1" s="47">
      <c r="A22" s="68" t="inlineStr">
        <is>
          <t>Resources &amp; support to prepare before the week   (printing, kit, bookings, briefing the team)</t>
        </is>
      </c>
    </row>
    <row r="23" ht="141.75" customHeight="1" s="47">
      <c r="A23" s="72" t="inlineStr">
        <is>
          <t>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is>
      </c>
      <c r="B23" s="70" t="n"/>
      <c r="C23" s="70" t="n"/>
      <c r="D23" s="70" t="n"/>
      <c r="E23" s="70" t="n"/>
      <c r="F23" s="70" t="n"/>
      <c r="G23" s="70" t="n"/>
      <c r="H23" s="70" t="n"/>
      <c r="I23" s="70" t="n"/>
      <c r="J23" s="71" t="n"/>
    </row>
    <row r="24" ht="14.25" customHeight="1" s="47">
      <c r="A24" s="73" t="inlineStr">
        <is>
          <t xml:space="preserve">F = formative  ·  S = summative  ·  PfA = Preparing for Adulthood  </t>
        </is>
      </c>
    </row>
  </sheetData>
  <mergeCells count="9">
    <mergeCell ref="A1:J1"/>
    <mergeCell ref="A23:J23"/>
    <mergeCell ref="A8:J8"/>
    <mergeCell ref="A22:J22"/>
    <mergeCell ref="A21:J21"/>
    <mergeCell ref="A20:J20"/>
    <mergeCell ref="A24:J24"/>
    <mergeCell ref="A2:J2"/>
    <mergeCell ref="B6:D6"/>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8"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8"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8" activeCellId="0" sqref="A8"/>
    </sheetView>
  </sheetViews>
  <sheetFormatPr baseColWidth="8" defaultColWidth="8.5625" defaultRowHeight="14.25" zeroHeight="0" outlineLevelRow="0"/>
  <cols>
    <col width="16" customWidth="1" style="46" min="1" max="1"/>
    <col width="11" customWidth="1" style="46" min="2" max="2"/>
    <col width="10" customWidth="1" style="46" min="3" max="3"/>
    <col width="15" customWidth="1" style="46" min="4" max="4"/>
    <col width="26" customWidth="1" style="46" min="5" max="5"/>
    <col width="28" customWidth="1" style="46" min="6" max="7"/>
    <col width="18" customWidth="1" style="46" min="8" max="8"/>
    <col width="22" customWidth="1" style="46" min="9" max="9"/>
  </cols>
  <sheetData>
    <row r="1" ht="25.5" customHeight="1" s="47">
      <c r="A1" s="74" t="inlineStr">
        <is>
          <t>Student Adaptations</t>
        </is>
      </c>
    </row>
    <row r="2" ht="14.25" customHeight="1" s="47">
      <c r="A2" s="49" t="n"/>
    </row>
    <row r="4" ht="27.75" customHeight="1" s="47">
      <c r="A4" s="58" t="inlineStr">
        <is>
          <t>Name</t>
        </is>
      </c>
      <c r="B4" s="58" t="inlineStr">
        <is>
          <t>Pathway</t>
        </is>
      </c>
      <c r="C4" s="58" t="inlineStr">
        <is>
          <t>Year / KS</t>
        </is>
      </c>
      <c r="D4" s="58" t="inlineStr">
        <is>
          <t>Reading age band</t>
        </is>
      </c>
      <c r="E4" s="58" t="inlineStr">
        <is>
          <t>Communication / sensory needs</t>
        </is>
      </c>
      <c r="F4" s="58" t="inlineStr">
        <is>
          <t>Key scaffolds &amp; adaptations</t>
        </is>
      </c>
      <c r="G4" s="58" t="inlineStr">
        <is>
          <t>EHCP primary outcomes</t>
        </is>
      </c>
      <c r="H4" s="58" t="inlineStr">
        <is>
          <t>PfA focus</t>
        </is>
      </c>
      <c r="I4" s="58" t="inlineStr">
        <is>
          <t>Notes</t>
        </is>
      </c>
    </row>
    <row r="5" ht="42" customHeight="1" s="47">
      <c r="A5" s="59" t="inlineStr">
        <is>
          <t>Pupil A</t>
        </is>
      </c>
      <c r="B5" s="62" t="inlineStr">
        <is>
          <t>GROW</t>
        </is>
      </c>
      <c r="C5" s="62" t="inlineStr">
        <is>
          <t>KS4</t>
        </is>
      </c>
      <c r="D5" s="75" t="n"/>
      <c r="E5" s="62" t="n"/>
      <c r="F5" s="76" t="n"/>
      <c r="G5" s="64" t="n"/>
      <c r="H5" s="62" t="n"/>
      <c r="I5" s="62" t="n"/>
    </row>
    <row r="6" ht="42" customHeight="1" s="47">
      <c r="A6" s="63" t="inlineStr">
        <is>
          <t>Pupil B</t>
        </is>
      </c>
      <c r="B6" s="62" t="inlineStr">
        <is>
          <t>GROW</t>
        </is>
      </c>
      <c r="C6" s="64" t="inlineStr">
        <is>
          <t>KS4</t>
        </is>
      </c>
      <c r="D6" s="77" t="n"/>
      <c r="E6" s="64" t="n"/>
      <c r="F6" s="64" t="n"/>
      <c r="G6" s="64" t="n"/>
      <c r="H6" s="64" t="n"/>
      <c r="I6" s="64" t="n"/>
    </row>
    <row r="7" ht="42" customHeight="1" s="47">
      <c r="A7" s="78" t="inlineStr">
        <is>
          <t>Pupil C</t>
        </is>
      </c>
      <c r="B7" s="79" t="inlineStr">
        <is>
          <t>GROW</t>
        </is>
      </c>
      <c r="C7" s="79" t="inlineStr">
        <is>
          <t>KS4</t>
        </is>
      </c>
      <c r="D7" s="80" t="n"/>
      <c r="E7" s="79" t="n"/>
      <c r="F7" s="79" t="n"/>
      <c r="G7" s="64" t="n"/>
      <c r="H7" s="79" t="n"/>
      <c r="I7" s="81" t="n"/>
    </row>
    <row r="8" ht="30" customHeight="1" s="47">
      <c r="A8" s="79" t="n"/>
      <c r="B8" s="79" t="n"/>
      <c r="C8" s="79" t="n"/>
      <c r="D8" s="79" t="n"/>
      <c r="E8" s="79" t="n"/>
      <c r="F8" s="79" t="n"/>
      <c r="G8" s="79" t="n"/>
      <c r="H8" s="79" t="n"/>
      <c r="I8" s="79" t="n"/>
    </row>
    <row r="9" ht="30" customHeight="1" s="47">
      <c r="A9" s="82" t="n"/>
      <c r="B9" s="82" t="n"/>
      <c r="C9" s="82" t="n"/>
      <c r="D9" s="82" t="n"/>
      <c r="E9" s="82" t="n"/>
      <c r="F9" s="82" t="n"/>
      <c r="G9" s="82" t="n"/>
      <c r="H9" s="82" t="n"/>
      <c r="I9" s="82" t="n"/>
    </row>
    <row r="10" ht="30" customHeight="1" s="47">
      <c r="A10" s="79" t="n"/>
      <c r="B10" s="79" t="n"/>
      <c r="C10" s="79" t="n"/>
      <c r="D10" s="79" t="n"/>
      <c r="E10" s="79" t="n"/>
      <c r="F10" s="79" t="n"/>
      <c r="G10" s="79" t="n"/>
      <c r="H10" s="79" t="n"/>
      <c r="I10" s="79" t="n"/>
    </row>
    <row r="11" ht="30" customHeight="1" s="47">
      <c r="A11" s="82" t="n"/>
      <c r="B11" s="82" t="n"/>
      <c r="C11" s="82" t="n"/>
      <c r="D11" s="82" t="n"/>
      <c r="E11" s="82" t="n"/>
      <c r="F11" s="82" t="n"/>
      <c r="G11" s="82" t="n"/>
      <c r="H11" s="82" t="n"/>
      <c r="I11" s="82" t="n"/>
    </row>
    <row r="12" ht="30" customHeight="1" s="47">
      <c r="A12" s="79" t="n"/>
      <c r="B12" s="79" t="n"/>
      <c r="C12" s="79" t="n"/>
      <c r="D12" s="79" t="n"/>
      <c r="E12" s="79" t="n"/>
      <c r="F12" s="79" t="n"/>
      <c r="G12" s="79" t="n"/>
      <c r="H12" s="79" t="n"/>
      <c r="I12" s="79" t="n"/>
    </row>
    <row r="13" ht="30" customHeight="1" s="47">
      <c r="A13" s="82" t="n"/>
      <c r="B13" s="82" t="n"/>
      <c r="C13" s="82" t="n"/>
      <c r="D13" s="82" t="n"/>
      <c r="E13" s="82" t="n"/>
      <c r="F13" s="82" t="n"/>
      <c r="G13" s="82" t="n"/>
      <c r="H13" s="82" t="n"/>
      <c r="I13" s="82" t="n"/>
    </row>
    <row r="14" ht="30" customHeight="1" s="47">
      <c r="A14" s="79" t="n"/>
      <c r="B14" s="79" t="n"/>
      <c r="C14" s="79" t="n"/>
      <c r="D14" s="79" t="n"/>
      <c r="E14" s="79" t="n"/>
      <c r="F14" s="79" t="n"/>
      <c r="G14" s="79" t="n"/>
      <c r="H14" s="79" t="n"/>
      <c r="I14" s="79" t="n"/>
    </row>
    <row r="15" ht="30" customHeight="1" s="47">
      <c r="A15" s="82" t="n"/>
      <c r="B15" s="82" t="n"/>
      <c r="C15" s="82" t="n"/>
      <c r="D15" s="82" t="n"/>
      <c r="E15" s="82" t="n"/>
      <c r="F15" s="82" t="n"/>
      <c r="G15" s="82" t="n"/>
      <c r="H15" s="82" t="n"/>
      <c r="I15" s="82" t="n"/>
    </row>
    <row r="16" ht="30" customHeight="1" s="47">
      <c r="A16" s="79" t="n"/>
      <c r="B16" s="79" t="n"/>
      <c r="C16" s="79" t="n"/>
      <c r="D16" s="79" t="n"/>
      <c r="E16" s="79" t="n"/>
      <c r="F16" s="79" t="n"/>
      <c r="G16" s="79" t="n"/>
      <c r="H16" s="79" t="n"/>
      <c r="I16" s="79" t="n"/>
    </row>
    <row r="17" ht="30" customHeight="1" s="47">
      <c r="A17" s="82" t="n"/>
      <c r="B17" s="82" t="n"/>
      <c r="C17" s="82" t="n"/>
      <c r="D17" s="82" t="n"/>
      <c r="E17" s="82" t="n"/>
      <c r="F17" s="82" t="n"/>
      <c r="G17" s="82" t="n"/>
      <c r="H17" s="82" t="n"/>
      <c r="I17" s="82" t="n"/>
    </row>
    <row r="18" ht="30" customHeight="1" s="47">
      <c r="A18" s="79" t="n"/>
      <c r="B18" s="79" t="n"/>
      <c r="C18" s="79" t="n"/>
      <c r="D18" s="79" t="n"/>
      <c r="E18" s="79" t="n"/>
      <c r="F18" s="79" t="n"/>
      <c r="G18" s="79" t="n"/>
      <c r="H18" s="79" t="n"/>
      <c r="I18" s="79" t="n"/>
    </row>
    <row r="19" ht="30" customHeight="1" s="47">
      <c r="A19" s="82" t="n"/>
      <c r="B19" s="82" t="n"/>
      <c r="C19" s="82" t="n"/>
      <c r="D19" s="82" t="n"/>
      <c r="E19" s="82" t="n"/>
      <c r="F19" s="82" t="n"/>
      <c r="G19" s="82" t="n"/>
      <c r="H19" s="82" t="n"/>
      <c r="I19" s="82" t="n"/>
    </row>
  </sheetData>
  <mergeCells count="2">
    <mergeCell ref="A1:I1"/>
    <mergeCell ref="A2:I2"/>
  </mergeCells>
  <conditionalFormatting sqref="B5:B19">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5625" defaultRowHeight="14.25" zeroHeight="0" outlineLevelRow="0"/>
  <cols>
    <col width="12" customWidth="1" style="46" min="1" max="1"/>
    <col width="11" customWidth="1" style="46" min="2" max="2"/>
    <col width="16" customWidth="1" style="46" min="3" max="3"/>
    <col width="28" customWidth="1" style="46" min="4" max="4"/>
    <col width="24" customWidth="1" style="46" min="5" max="5"/>
    <col width="9" customWidth="1" style="46" min="6" max="6"/>
    <col width="24" customWidth="1" style="46" min="7" max="7"/>
    <col width="18" customWidth="1" style="46" min="8" max="8"/>
    <col width="26" customWidth="1" style="46" min="9" max="9"/>
  </cols>
  <sheetData>
    <row r="1" ht="25.5" customHeight="1" s="47">
      <c r="A1" s="83" t="inlineStr">
        <is>
          <t xml:space="preserve">Outcome Tracker </t>
        </is>
      </c>
    </row>
    <row r="2" ht="14.25" customHeight="1" s="47">
      <c r="A2" s="84" t="inlineStr">
        <is>
          <t xml:space="preserve">Did everyone make progress and meet the outcome? </t>
        </is>
      </c>
    </row>
    <row r="3" ht="18" customHeight="1" s="47">
      <c r="A3" s="85" t="inlineStr">
        <is>
          <t>GREEN</t>
        </is>
      </c>
      <c r="B3" s="86" t="inlineStr">
        <is>
          <t>All demonstrated progress &amp; achieved the outcome</t>
        </is>
      </c>
      <c r="D3" s="87" t="inlineStr">
        <is>
          <t>AMBER</t>
        </is>
      </c>
      <c r="E3" s="86" t="inlineStr">
        <is>
          <t>Partly met, revisit in class</t>
        </is>
      </c>
      <c r="G3" s="88" t="inlineStr">
        <is>
          <t>RED</t>
        </is>
      </c>
      <c r="H3" s="86" t="inlineStr">
        <is>
          <t>Not met, pick up through intervention</t>
        </is>
      </c>
    </row>
    <row r="4"/>
    <row r="5" ht="27.75" customHeight="1" s="47">
      <c r="A5" s="58" t="inlineStr">
        <is>
          <t>Week (w/c)</t>
        </is>
      </c>
      <c r="B5" s="58" t="inlineStr">
        <is>
          <t>Pathway</t>
        </is>
      </c>
      <c r="C5" s="58" t="inlineStr">
        <is>
          <t>Subject</t>
        </is>
      </c>
      <c r="D5" s="58" t="inlineStr">
        <is>
          <t>Outcome reviewed</t>
        </is>
      </c>
      <c r="E5" s="58" t="inlineStr">
        <is>
          <t>Marking / evidence</t>
        </is>
      </c>
      <c r="F5" s="58" t="inlineStr">
        <is>
          <t>RAG</t>
        </is>
      </c>
      <c r="G5" s="58" t="inlineStr">
        <is>
          <t>Students not yet secure</t>
        </is>
      </c>
      <c r="H5" s="58" t="inlineStr">
        <is>
          <t>Picked up via</t>
        </is>
      </c>
      <c r="I5" s="58" t="inlineStr">
        <is>
          <t>Action &amp; timescale</t>
        </is>
      </c>
    </row>
    <row r="6" ht="30" customHeight="1" s="47">
      <c r="A6" s="89" t="n">
        <v>46280</v>
      </c>
      <c r="B6" s="62" t="inlineStr">
        <is>
          <t>GROW</t>
        </is>
      </c>
      <c r="C6" s="82" t="inlineStr">
        <is>
          <t>English</t>
        </is>
      </c>
      <c r="D6" s="60" t="inlineStr">
        <is>
          <t>Students explored key vocabulary and explained at least one word/detail linked to identity or belonging.</t>
        </is>
      </c>
      <c r="E6" s="79" t="n"/>
      <c r="F6" s="79" t="n"/>
      <c r="G6" s="79" t="n"/>
      <c r="H6" s="79" t="n"/>
      <c r="I6" s="79" t="n"/>
    </row>
    <row r="7" ht="30" customHeight="1" s="47">
      <c r="A7" s="89" t="n">
        <v>46279</v>
      </c>
      <c r="B7" s="62" t="inlineStr">
        <is>
          <t>GROW</t>
        </is>
      </c>
      <c r="C7" s="79" t="inlineStr">
        <is>
          <t>Maths</t>
        </is>
      </c>
      <c r="D7" s="64" t="inlineStr">
        <is>
          <t>I can add and subtract numbers using efficient written methods to solve mathematical problems.</t>
        </is>
      </c>
      <c r="E7" s="79" t="n"/>
      <c r="F7" s="79" t="n"/>
      <c r="G7" s="79" t="n"/>
      <c r="H7" s="79" t="n"/>
      <c r="I7" s="79" t="n"/>
    </row>
    <row r="8" ht="30" customHeight="1" s="47">
      <c r="A8" s="89" t="n">
        <v>46279</v>
      </c>
      <c r="B8" s="62" t="inlineStr">
        <is>
          <t>GROW</t>
        </is>
      </c>
      <c r="C8" s="62" t="inlineStr">
        <is>
          <t>Science</t>
        </is>
      </c>
      <c r="D8" s="62" t="inlineStr">
        <is>
          <t>I can explain what friction does and give examples where it helps and where it hinders.</t>
        </is>
      </c>
      <c r="E8" s="62" t="n"/>
      <c r="F8" s="62" t="n"/>
      <c r="G8" s="62" t="n"/>
      <c r="H8" s="62" t="n"/>
      <c r="I8" s="62" t="n"/>
    </row>
    <row r="9" ht="30" customHeight="1" s="47">
      <c r="A9" s="89" t="n">
        <v>46279</v>
      </c>
      <c r="B9" s="62" t="inlineStr">
        <is>
          <t>GROW</t>
        </is>
      </c>
      <c r="C9" s="62" t="inlineStr">
        <is>
          <t>PSHE / RSE</t>
        </is>
      </c>
      <c r="D9" s="62" t="inlineStr">
        <is>
          <t>I can explain how democracy gives people a say, and take part in a fair vote.</t>
        </is>
      </c>
      <c r="E9" s="62" t="n"/>
      <c r="F9" s="62" t="n"/>
      <c r="G9" s="62" t="n"/>
      <c r="H9" s="62" t="n"/>
      <c r="I9" s="62" t="n"/>
    </row>
    <row r="10" ht="30" customHeight="1" s="47">
      <c r="A10" s="89" t="n">
        <v>46279</v>
      </c>
      <c r="B10" s="62" t="inlineStr">
        <is>
          <t>GROW</t>
        </is>
      </c>
      <c r="C10" s="62" t="inlineStr">
        <is>
          <t>Humanities</t>
        </is>
      </c>
      <c r="D10" s="62" t="inlineStr">
        <is>
          <t>I can explain one reason people came to Britain and one thing that changed as a result.</t>
        </is>
      </c>
      <c r="E10" s="62" t="n"/>
      <c r="F10" s="62" t="n"/>
      <c r="G10" s="62" t="n"/>
      <c r="H10" s="62" t="n"/>
      <c r="I10" s="62" t="n"/>
    </row>
    <row r="11" ht="30" customHeight="1" s="47">
      <c r="A11" s="89" t="n">
        <v>46279</v>
      </c>
      <c r="B11" s="62" t="inlineStr">
        <is>
          <t>GROW</t>
        </is>
      </c>
      <c r="C11" s="62" t="inlineStr">
        <is>
          <t>Arts (Arts Award)</t>
        </is>
      </c>
      <c r="D11" s="62" t="inlineStr">
        <is>
          <t>I can plan an artwork about my identity and choose the materials I will use.</t>
        </is>
      </c>
      <c r="E11" s="62" t="n"/>
      <c r="F11" s="62" t="n"/>
      <c r="G11" s="62" t="n"/>
      <c r="H11" s="62" t="n"/>
      <c r="I11" s="62" t="n"/>
    </row>
    <row r="12" ht="30" customHeight="1" s="47">
      <c r="A12" s="89" t="n">
        <v>46279</v>
      </c>
      <c r="B12" s="62" t="inlineStr">
        <is>
          <t>GROW</t>
        </is>
      </c>
      <c r="C12" s="82" t="inlineStr">
        <is>
          <t>RE</t>
        </is>
      </c>
      <c r="D12" s="66" t="inlineStr">
        <is>
          <t>I can explain the meaning of Diwali and describe why it is important to Hindus.</t>
        </is>
      </c>
      <c r="E12" s="82" t="n"/>
      <c r="F12" s="82" t="n"/>
      <c r="G12" s="82" t="n"/>
      <c r="H12" s="82" t="n"/>
      <c r="I12" s="82" t="n"/>
    </row>
    <row r="13" ht="30" customHeight="1" s="47">
      <c r="A13" s="82" t="n"/>
      <c r="B13" s="82" t="n"/>
      <c r="C13" s="82" t="n"/>
      <c r="D13" s="82" t="n"/>
      <c r="E13" s="82" t="n"/>
      <c r="F13" s="82" t="n"/>
      <c r="G13" s="82" t="n"/>
      <c r="H13" s="82" t="n"/>
      <c r="I13" s="82" t="n"/>
    </row>
    <row r="14" ht="30" customHeight="1" s="47">
      <c r="A14" s="79" t="n"/>
      <c r="B14" s="79" t="n"/>
      <c r="C14" s="79" t="n"/>
      <c r="D14" s="79" t="n"/>
      <c r="E14" s="79" t="n"/>
      <c r="F14" s="79" t="n"/>
      <c r="G14" s="79" t="n"/>
      <c r="H14" s="79" t="n"/>
      <c r="I14" s="79" t="n"/>
    </row>
    <row r="15" ht="25.5" customHeight="1" s="47">
      <c r="A15" s="82" t="n"/>
      <c r="B15" s="82" t="n"/>
      <c r="C15" s="82" t="n"/>
      <c r="D15" s="82" t="n"/>
      <c r="E15" s="82" t="n"/>
      <c r="F15" s="82" t="n"/>
      <c r="G15" s="82" t="n"/>
      <c r="H15" s="82" t="n"/>
      <c r="I15" s="82" t="n"/>
    </row>
    <row r="16" ht="25.5" customHeight="1" s="47">
      <c r="A16" s="79" t="n"/>
      <c r="B16" s="79" t="n"/>
      <c r="C16" s="79" t="n"/>
      <c r="D16" s="79" t="n"/>
      <c r="E16" s="79" t="n"/>
      <c r="F16" s="79" t="n"/>
      <c r="G16" s="79" t="n"/>
      <c r="H16" s="79" t="n"/>
      <c r="I16" s="79" t="n"/>
    </row>
    <row r="17" ht="25.5" customHeight="1" s="47">
      <c r="A17" s="82" t="n"/>
      <c r="B17" s="82" t="n"/>
      <c r="C17" s="82" t="n"/>
      <c r="D17" s="82" t="n"/>
      <c r="E17" s="82" t="n"/>
      <c r="F17" s="82" t="n"/>
      <c r="G17" s="82" t="n"/>
      <c r="H17" s="82" t="n"/>
      <c r="I17" s="82" t="n"/>
    </row>
    <row r="18" ht="25.5" customHeight="1" s="47">
      <c r="A18" s="79" t="n"/>
      <c r="B18" s="79" t="n"/>
      <c r="C18" s="79" t="n"/>
      <c r="D18" s="79" t="n"/>
      <c r="E18" s="79" t="n"/>
      <c r="F18" s="79" t="n"/>
      <c r="G18" s="79" t="n"/>
      <c r="H18" s="79" t="n"/>
      <c r="I18" s="79" t="n"/>
    </row>
    <row r="19" ht="25.5" customHeight="1" s="47">
      <c r="A19" s="82" t="n"/>
      <c r="B19" s="82" t="n"/>
      <c r="C19" s="82" t="n"/>
      <c r="D19" s="82" t="n"/>
      <c r="E19" s="82" t="n"/>
      <c r="F19" s="82" t="n"/>
      <c r="G19" s="82" t="n"/>
      <c r="H19" s="82" t="n"/>
      <c r="I19" s="82" t="n"/>
    </row>
    <row r="20" ht="25.5" customHeight="1" s="47">
      <c r="A20" s="79" t="n"/>
      <c r="B20" s="79" t="n"/>
      <c r="C20" s="79" t="n"/>
      <c r="D20" s="79" t="n"/>
      <c r="E20" s="79" t="n"/>
      <c r="F20" s="79" t="n"/>
      <c r="G20" s="79" t="n"/>
      <c r="H20" s="79" t="n"/>
      <c r="I20" s="79" t="n"/>
    </row>
    <row r="21" ht="25.5" customHeight="1" s="47">
      <c r="A21" s="82" t="n"/>
      <c r="B21" s="82" t="n"/>
      <c r="C21" s="82" t="n"/>
      <c r="D21" s="82" t="n"/>
      <c r="E21" s="82" t="n"/>
      <c r="F21" s="82" t="n"/>
      <c r="G21" s="82" t="n"/>
      <c r="H21" s="82" t="n"/>
      <c r="I21" s="82" t="n"/>
    </row>
    <row r="22" ht="25.5" customHeight="1" s="47"/>
    <row r="23" ht="25.5" customHeight="1" s="47">
      <c r="C23" s="90" t="inlineStr">
        <is>
          <t>This sheet:</t>
        </is>
      </c>
      <c r="D23" s="91">
        <f>COUNTIF($F$8:$F$18,"Green")</f>
        <v/>
      </c>
      <c r="E23" s="92">
        <f>COUNTIF($F$8:$F$18,"Amber")</f>
        <v/>
      </c>
      <c r="F23" s="93">
        <f>COUNTIF($F$8:$F$18,"Red")</f>
        <v/>
      </c>
    </row>
    <row r="24" ht="25.5" customHeight="1" s="47">
      <c r="D24" s="94" t="inlineStr">
        <is>
          <t>Green</t>
        </is>
      </c>
      <c r="E24" s="94" t="inlineStr">
        <is>
          <t>Amber</t>
        </is>
      </c>
      <c r="F24" s="94" t="inlineStr">
        <is>
          <t>Red</t>
        </is>
      </c>
    </row>
    <row r="25" ht="25.5" customHeight="1" s="47"/>
    <row r="26" ht="25.5" customHeight="1" s="47"/>
    <row r="27" ht="15" customHeight="1" s="47"/>
    <row r="28" ht="15" customHeight="1" s="47"/>
  </sheetData>
  <mergeCells count="5">
    <mergeCell ref="A2:I2"/>
    <mergeCell ref="B3:C3"/>
    <mergeCell ref="A1:I1"/>
    <mergeCell ref="E3:F3"/>
    <mergeCell ref="H3:I3"/>
  </mergeCells>
  <conditionalFormatting sqref="F6:F26">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6" showDropDown="0" showInputMessage="0" showErrorMessage="0" allowBlank="1" errorTitle="Choose from the list" error="Pick a value from the list." type="list" errorStyle="stop" operator="between">
      <formula1>"BUILD,GROW,LAUNCH"</formula1>
      <formula2>0</formula2>
    </dataValidation>
    <dataValidation sqref="C6:C26"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6:F26" showDropDown="0" showInputMessage="0" showErrorMessage="0" allowBlank="1" errorTitle="Choose from the list" error="Pick a value from the list." type="list" errorStyle="stop" operator="between">
      <formula1>"Green,Amber,Red"</formula1>
      <formula2>0</formula2>
    </dataValidation>
    <dataValidation sqref="H6:H26"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2026-07-29T16:31:01Z</dcterms:modified>
  <cp:lastModifiedBy>Helen Stewart</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