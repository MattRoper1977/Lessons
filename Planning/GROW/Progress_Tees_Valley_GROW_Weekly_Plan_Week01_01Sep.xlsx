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<sst xmlns="http://schemas.openxmlformats.org/spreadsheetml/2006/main" count="161" uniqueCount="129">
  <si>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</si>
  <si>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</si>
  <si>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</si>
  <si>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</si>
  <si>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</si>
  <si>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</si>
  <si>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</si>
  <si>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</si>
  <si>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</si>
  <si>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</si>
  <si>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</si>
  <si>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</si>
  <si>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British Values launch — assembly introduces the five values; PSHE W1–2 builds the rights work into a signed class charter.  EVIDENCE: charter photo + BV hub RAG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</si>
  <si>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</si>
  <si>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</si>
  <si>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</si>
  <si>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</si>
  <si>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</si>
  <si>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</si>
  <si>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</si>
  <si>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</si>
  <si>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</si>
  <si>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</si>
  <si>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</si>
  <si>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class text opening, baseline reading confidence and International Literacy Day link.</t>
  </si>
  <si>
    <t xml:space="preserve">I can read the opening of a text and make a simple prediction or inference about a character or setting.</t>
  </si>
  <si>
    <t xml:space="preserve">Soft-start literacy task → introduce Identity &amp; Belonging theme → read opening of The Boy at the Back of the Class or Coming to England → teacher models prediction/inference using one detail → students complete one supported reading-journal response → confidence check.</t>
  </si>
  <si>
    <t xml:space="preserve">identity, belonging, predict, infer, character, setting, evidence</t>
  </si>
  <si>
    <t xml:space="preserve">The Boy at the Back of the Class; Coming to England extract; International Literacy Day prompt; reading-journal sheet; inference sentence stems; overlays/reading pens; TRT resources.</t>
  </si>
  <si>
    <t xml:space="preserve">F</t>
  </si>
  <si>
    <t xml:space="preserve">Short, age-appropriate extracts; vocabulary pre-teach; chunked instructions; sentence stems; choice of verbal/typed/scribed response where agreed; coloured paper/overlays/reading pen; no cold calling; movement/regulation breaks.</t>
  </si>
  <si>
    <t xml:space="preserve">TA supports reading access, task initiation and agreed scribing without over-leading. Teacher models first response, checks confidence and records evidence for Step Up/FS/UAS.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</si>
  <si>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note baseline confidence, reading access, who can infer with a prompt, and who needs TRT/reading intervention.  → Influence: shapes the next scaffold and the half-termly plan; SPaG routes to spelling intervention, not margin marking [NS].</t>
  </si>
  <si>
    <t xml:space="preserve">Maths</t>
  </si>
  <si>
    <t xml:space="preserve">Place value &amp; the four operations (KS2/3)</t>
  </si>
  <si>
    <t xml:space="preserve">I can read, write and order whole numbers and simple decimals.</t>
  </si>
  <si>
    <t xml:space="preserve">Read and write whole numbers and simple decimals in numerals and words, Match decimal numbers to visual representations using place value charts, money and number lines, Identify the value of digits in whole numbers and decimal numbers, Build and represent numbers using place value equipment and counters,Compare and order sets of whole numbers and simple decimals, Place numbers accurately on number lines, Complete sorting, matching and sequencing activities involving whole numbers and decimals, Apply learning through practical tasks involving money and measurement, Participate in games and problem-solving activities focused on ordering and comparing numbers.
Supermarket washing line: peg real price tags (decimals) in order along the line — daily-life decimals with a live class check each round.</t>
  </si>
  <si>
    <t xml:space="preserve">Whole number, Decimal, Decimal point, Digit, Place value, Ones, Tens, Hundreds, Tenths, Hundredths, Compare, Order</t>
  </si>
  <si>
    <t xml:space="preserve">Place value charts, Decimal place value grids, Decimal number cards, Number lines, Base ten blocks/Dienes equipment, Place value counters, Coins and notes</t>
  </si>
  <si>
    <t xml:space="preserve">Use concrete resources such as base ten blocks and place value counters to support understanding, Provide place value charts, number lines and visual prompts, Introduce decimals gradually, beginning with tenths before progressing to hundredths, Use real-life contexts such as money and measurement to support understanding, Provide additional modelling, repetition and adult support where needed, Adapt the complexity of numbers according to individual needs, Extend learning through reasoning, investigation and problem-solving activities for more able pupils.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</si>
  <si>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reading, writing and ordering whole numbers and decimals, Visual aids and concrete resources available throughout lessons, Targeted questioning to develop understanding and reasoning skills.
LOOP [Feedback Policy]: Voice = mini-whiteboard show-me / re-do, verbal reply [VF, I] → Audience: name the corrected step back and tick the success criteria; [R] on an accurate re-do → EVIDENCE: photo of the practical proof + book note, same day [E: numeracy/vocational — daily evidence platform].</t>
  </si>
  <si>
    <t xml:space="preserve">Influence: next task adapted; who needs the method re-modelled shapes grouping and the half-termly plan [NS].</t>
  </si>
  <si>
    <t xml:space="preserve">Science</t>
  </si>
  <si>
    <t xml:space="preserve">Forces &amp; Earth in space (White Rose Science Y5/6) · Pearson Entry Level Science 8939 · ladders toward GCSE Combined Science 1SC0 (Launch) · SoW Aut1·W1  [REALIGNED to SoW]</t>
  </si>
  <si>
    <t xml:space="preserve">I can say what a force is and show what I already know about forces and space.</t>
  </si>
  <si>
    <t xml:space="preserve">Baseline as a challenge circuit, not a test — four hands-on stations: push/pull the trolley · drop the parachute · rub the block on three surfaces · order the planets. I DO: model 'a force is a push or a pull' with the trolley. WE DO: name the force at each station together. YOU DO: rotate the circuit, tick what you can do on the picture-supported 'what I know' sheet. EXIT: 'A force is a…' stem.  NOTE: this replaces the cells/body baseline — the SoW places Biology in Aut 2, not Aut 1.</t>
  </si>
  <si>
    <t xml:space="preserve">force, push, pull, gravity, weight, surface, planet, Earth, Moon, Sun</t>
  </si>
  <si>
    <t xml:space="preserve">Trolley; parachutes; friction blocks + 3 surfaces; planet cards; picture-supported 'what I know' sheet; station signs; magenta copies; camera.</t>
  </si>
  <si>
    <t xml:space="preserve">Circuit format means no pupil sits in front of a blank paper. Tick-and-picture recording, not writing. Pupil A: back-row seat, never questioned on the spot; sentence starters, checklists and the word bank; extra time for neat presentation. Movement built into the whole session — this is week 1, regulation before content.</t>
  </si>
  <si>
    <t xml:space="preserve">TA runs two stations so the group never waits. Teacher names each force out loud at every station — repetition is the point.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</si>
  <si>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already uses 'gravity' correctly vs who says 'weight' for everything.  → Influence: this circuit sets the starting rung for W2–W8 and the ELC 8939 entry decision [NS]; log RAG.</t>
  </si>
  <si>
    <t xml:space="preserve">PSHE / RSE</t>
  </si>
  <si>
    <t xml:space="preserve">Identity, rights &amp; British values (PSHE Association KS3 + ACT) · AQA UAS 'Rights &amp; responsibilities' · SoW Aut1·W1</t>
  </si>
  <si>
    <t xml:space="preserve">I can recognise and value diversity in our community.</t>
  </si>
  <si>
    <t xml:space="preserve">Ground rules + distancing.  Active 'find someone who…' people-bingo (up &amp; moving) → human barometer 'agree / disagree' on belonging statements → team 'what makes us a great class' poster.  EVIDENCE: identity/diversity task + photo (AQA UAS 'Rights &amp; responsibilities').  GCSE STRETCH: 'why does a diverse society matter?' → bridges to GCSE Citizenship Studies (AQA 8100).</t>
  </si>
  <si>
    <t xml:space="preserve">diversity, identity, community, respect, belonging, fair</t>
  </si>
  <si>
    <t xml:space="preserve">Emoji / identity cards; people-bingo sheets; PSHE Association KS3 diversity unit; scenario cards.</t>
  </si>
  <si>
    <t xml:space="preserve">Symbol-supported cards; opt-out of sharing; easy-read; pre-taught vocab; private 1:1 for sensitive items.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</si>
  <si>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leads a small group and pre-agrees what is shared; quiet space available.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</si>
  <si>
    <t xml:space="preserve">Influence: the W7 pitch shapes the W8 real action; outcomes feed APDR and the citizenship ladder [NS].</t>
  </si>
  <si>
    <t xml:space="preserve">RE</t>
  </si>
  <si>
    <t xml:space="preserve">Belief, festivals &amp; belonging (Geography, Kapow + RE)</t>
  </si>
  <si>
    <t xml:space="preserve">I can identify different beliefs and worldviews in our community.</t>
  </si>
  <si>
    <t xml:space="preserve">Explore different beliefs, religions and worldviews represented in the local and wider community, Discuss similarities and differences between people’s beliefs and experiences, Learn about how different groups celebrate, worship and mark important events, Read stories and look at images representing a range of beliefs and traditions, Identify places of worship and community spaces linked to different faiths and worldviews, Take part in discussions about respect, inclusion and diversity, Complete matching, sorting, drawing or research activities linked to different beliefs and communities.</t>
  </si>
  <si>
    <t xml:space="preserve">Belief, Worldview, Faith, Religion, Community, Diversity, Culture, Tradition, Respect, Inclusion, Similarities, Differences, Worship, Celebration, Values, Identity</t>
  </si>
  <si>
    <t xml:space="preserve">Photographs of people, places and communities, Images of places of worship, Stories representing different beliefs and cultures, Faith symbol cards</t>
  </si>
  <si>
    <t xml:space="preserve">Use visual prompts, photographs and symbols to support understanding, Provide vocabulary mats and discussion sentence starters, Allow pupils to demonstrate learning through speaking, drawing, matching or writing, Use stories and real-life examples to make learning accessible, Provide additional adult support during discussions and activities, Encourage more confident pupils to compare beliefs and identify common values.
Per-pupil: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</si>
  <si>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respectful discussion and inclusive language, Creation of a safe and welcoming environment where all beliefs and backgrounds are valued, Guided questioning to develop understanding and curiosity, Visual resources and vocabulary displays available throughout lessons, Small-group support and scaffolding where required, Positive reinforcement of respectful attitudes and participation, Ongoing assessment through observation, discussion and questioning.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</si>
  <si>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</si>
  <si>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</si>
  <si>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Migration &amp; identity in Britain (History, Kapow) · NC KS2/3 · AQA UAS 'Historical enquiry' · ladders to GCSE History 8145 (Launch) · SoW Aut1·W1</t>
  </si>
  <si>
    <t xml:space="preserve">I can place migration events on a timeline and put them in the right order.</t>
  </si>
  <si>
    <t xml:space="preserve">Be a Time Detective (active): pupils HOLD migration event cards and order themselves into a human timeline → 'before or after?' move-to-the-side game → add dates &amp; captions on a washing-line.  BHM: diverse Britain.  EVIDENCE: photo + captioned timeline sheet (AQA UAS 'Historical enquiry').  GCSE STRETCH: add exact dates &amp; a sentence on why an event matters → bridges to GCSE History 8145.</t>
  </si>
  <si>
    <t xml:space="preserve">timeline, chronology, order, migration, past, event</t>
  </si>
  <si>
    <t xml:space="preserve">Migration event cards; washing-line timeline; Coming to England supported extracts; date labels.</t>
  </si>
  <si>
    <t xml:space="preserve">Picture event cards; pre-sequenced support set; dual coding; reduced number of cards.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</si>
  <si>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the small group ordering the cards.
LOOP [Feedback Policy]: Voice = source verdict / timeline placement / short account [//, I] → Audience: read against the success criteria and name the change; [R] after received → EVIDENCE: coded book + enquiry photos [E: humanities] — deferred for the written account.</t>
  </si>
  <si>
    <t xml:space="preserve">Influence: the source-use skill shapes the next enquiry's scaffold [NS].</t>
  </si>
  <si>
    <t xml:space="preserve">Arts (Arts Award)</t>
  </si>
  <si>
    <t xml:space="preserve">Identity in art &amp; developing skills (Trinity Arts Award Explore, toward Bronze) · AQA UAS 'Creating artwork' · SoW Creative Arts</t>
  </si>
  <si>
    <t xml:space="preserve">I can explore materials and techniques in my chosen art form.</t>
  </si>
  <si>
    <t xml:space="preserve">Hands-on have-a-go carousel: making stations — collage, paint, print, clay, digital → quick 'art battle' challenge → pick a favourite.  Surreal self-portrait stimulus (Magritte, Kahlo).  EVIDENCE: Arts Award Explore log + photos.  GCSE STRETCH: start a sketchbook 'artist study' page → bridges to Arts Award Bronze / GCSE Art.</t>
  </si>
  <si>
    <t xml:space="preserve">material, technique, form, explore, portfolio, identity</t>
  </si>
  <si>
    <t xml:space="preserve">Trinity Arts Award Explore logbooks; mixed media (collage / drawing / paint / digital); artist exemplars (Magritte, Kahlo, BHM); cameras for evidence.</t>
  </si>
  <si>
    <t xml:space="preserve">S</t>
  </si>
  <si>
    <t xml:space="preserve">Choice of art form; multisensory media; photo / voice-note log instead of writing; demos.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</si>
  <si>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the stations and photographs evidence.
LOOP [Feedback Policy]: Voice = make + arts-log photo + comment [VF] → Audience: listen fully before tagging, one next technique [NS]; then [R] → EVIDENCE: Arts Award Explore log = the accreditation evidence, same day [E: Arts Award].</t>
  </si>
  <si>
    <t xml:space="preserve">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</si>
  <si>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</si>
  <si>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</si>
  <si>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</si>
  <si>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</si>
  <si>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</si>
  <si>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</si>
  <si>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</si>
  <si>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</si>
  <si>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</si>
  <si>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</si>
  <si>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</si>
  <si>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</si>
  <si>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</si>
  <si>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</si>
  <si>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</si>
  <si>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</si>
  <si>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</si>
  <si>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</si>
  <si>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</si>
  <si>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</si>
  <si>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</si>
  <si>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</si>
  <si>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</si>
  <si>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</si>
  <si>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</si>
  <si>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</si>
  <si>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</si>
  <si>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</si>
  <si>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</si>
  <si>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</si>
  <si>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</si>
  <si>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</si>
  <si>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</si>
  <si>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</si>
  <si>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</si>
  <si>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read the opening of the class text, made at least one prediction/inference, and baseline reading confidence/access needs were noted.</t>
  </si>
  <si>
    <t xml:space="preserve">I can name and describe the main parts of plant and animal cells.</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</si>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</sst>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566159"/>
      <name val="Arial"/>
      <family val="0"/>
      <charset val="1"/>
    </font>
    <font>
      <b val="true"/>
      <sz val="9"/>
      <color rgb="FF566159"/>
      <name val="Arial"/>
      <family val="0"/>
      <charset val="1"/>
    </font>
    <font>
      <b val="true"/>
      <sz val="10"/>
      <color rgb="FF1B2420"/>
      <name val="Arial"/>
      <family val="0"/>
      <charset val="1"/>
    </font>
    <font>
      <b val="true"/>
      <sz val="10"/>
      <color rgb="FF2E7D4F"/>
      <name val="Arial"/>
      <family val="0"/>
      <charset val="1"/>
    </font>
    <font>
      <sz val="9"/>
      <color rgb="FF2E2A5D"/>
      <name val="Arial"/>
      <family val="0"/>
      <charset val="1"/>
    </font>
    <font>
      <b val="true"/>
      <sz val="9"/>
      <color rgb="FFFFFFFF"/>
      <name val="Arial"/>
      <family val="0"/>
      <charset val="1"/>
    </font>
    <font>
      <b val="true"/>
      <sz val="9"/>
      <color rgb="FF1B2420"/>
      <name val="Arial"/>
      <family val="0"/>
      <charset val="1"/>
    </font>
    <font>
      <sz val="9"/>
      <color rgb="FF000000"/>
      <name val="Arial"/>
      <family val="0"/>
      <charset val="1"/>
    </font>
    <font>
      <sz val="9"/>
      <color rgb="FF1B2420"/>
      <name val="Arial"/>
      <family val="0"/>
      <charset val="1"/>
    </font>
    <font>
      <sz val="9"/>
      <color theme="1"/>
      <name val="Arial"/>
      <family val="2"/>
      <charset val="1"/>
    </font>
    <font>
      <sz val="9"/>
      <color rgb="FF222222"/>
      <name val="Aptos"/>
      <family val="2"/>
      <charset val="1"/>
    </font>
    <font>
      <sz val="9"/>
      <color rgb="FF1B2420"/>
      <name val="Arial"/>
      <family val="2"/>
      <charset val="1"/>
    </font>
    <font>
      <i val="true"/>
      <sz val="8"/>
      <color rgb="FF566159"/>
      <name val="Arial"/>
      <family val="0"/>
      <charset val="1"/>
    </font>
    <font>
      <b val="true"/>
      <sz val="16"/>
      <color rgb="FFFFFFFF"/>
      <name val="Arial"/>
      <family val="0"/>
      <charset val="1"/>
    </font>
    <font>
      <sz val="9"/>
      <color theme="1"/>
      <name val="Arial"/>
      <family val="0"/>
      <charset val="1"/>
    </font>
    <font>
      <b val="true"/>
      <sz val="11"/>
      <color theme="1"/>
      <name val="Calibri"/>
      <family val="2"/>
      <charset val="1"/>
    </font>
    <font>
      <b val="true"/>
      <sz val="16"/>
      <color rgb="FFFFFFFF"/>
      <name val="Arial"/>
      <family val="2"/>
      <charset val="1"/>
    </font>
    <font>
      <sz val="10"/>
      <name val="Arial"/>
      <family val="2"/>
      <charset val="1"/>
    </font>
    <font>
      <sz val="9"/>
      <name val="Arial"/>
      <family val="2"/>
      <charset val="1"/>
    </font>
    <font>
      <sz val="9"/>
      <color rgb="FF000000"/>
      <name val="Arial"/>
      <family val="2"/>
      <charset val="1"/>
    </font>
    <font>
      <b val="true"/>
      <sz val="10"/>
      <color rgb="FFFFFFFF"/>
      <name val="Arial"/>
      <family val="0"/>
      <charset val="1"/>
    </font>
    <font>
      <sz val="8"/>
      <color rgb="FF566159"/>
      <name val="Arial"/>
      <family val="0"/>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8">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style="thin">
        <color rgb="FFC3CDC1"/>
      </right>
      <top style="thin">
        <color rgb="FFC3CDC1"/>
      </top>
      <bottom/>
      <diagonal/>
    </border>
    <border diagonalUp="false" diagonalDown="false">
      <left style="thin">
        <color rgb="FFC3CDC1"/>
      </left>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style="thin">
        <color rgb="FFC3CDC1"/>
      </right>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64" fontId="11" fillId="5" borderId="5" xfId="0" applyFont="true" applyBorder="true" applyAlignment="true" applyProtection="false">
      <alignment horizontal="left" vertical="center" textRotation="0" wrapText="true" indent="0" shrinkToFit="false"/>
      <protection locked="true" hidden="false"/>
    </xf>
    <xf numFmtId="164" fontId="12" fillId="5" borderId="6" xfId="0" applyFont="true" applyBorder="true" applyAlignment="true" applyProtection="false">
      <alignment horizontal="general" vertical="center" textRotation="0" wrapText="true" indent="0" shrinkToFit="false"/>
      <protection locked="true" hidden="false"/>
    </xf>
    <xf numFmtId="164" fontId="12" fillId="5" borderId="6" xfId="0" applyFont="true" applyBorder="true" applyAlignment="true" applyProtection="false">
      <alignment horizontal="general" vertical="bottom"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3" fillId="6" borderId="7" xfId="0" applyFont="true" applyBorder="true" applyAlignment="true" applyProtection="false">
      <alignment horizontal="left" vertical="center" textRotation="0" wrapText="true" indent="0" shrinkToFit="false"/>
      <protection locked="true" hidden="false"/>
    </xf>
    <xf numFmtId="164" fontId="14" fillId="6" borderId="7"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5" fillId="5" borderId="6"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3" fillId="6" borderId="3" xfId="0" applyFont="true" applyBorder="true" applyAlignment="true" applyProtection="false">
      <alignment horizontal="general" vertical="top" textRotation="0" wrapText="true" indent="0" shrinkToFit="false"/>
      <protection locked="true" hidden="false"/>
    </xf>
    <xf numFmtId="164" fontId="16" fillId="6" borderId="3"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6" fontId="13"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13" fillId="6" borderId="3"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24" fillId="5" borderId="6" xfId="0" applyFont="true" applyBorder="true" applyAlignment="true" applyProtection="false">
      <alignment horizontal="general" vertical="bottom"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3" activePane="bottomLeft" state="frozen"/>
      <selection pane="topLeft" activeCell="A1" activeCellId="0" sqref="A1"/>
      <selection pane="bottomLeft" activeCell="F13" activeCellId="0" sqref="F13"/>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1</v>
      </c>
      <c r="F4" s="4" t="s">
        <v>4</v>
      </c>
      <c r="G4" s="5" t="n">
        <v>1</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46266</v>
      </c>
      <c r="F7" s="4" t="s">
        <v>11</v>
      </c>
      <c r="G7" s="5"/>
    </row>
    <row r="8" customFormat="false" ht="33.75" hidden="false" customHeight="true" outlineLevel="0" collapsed="false">
      <c r="A8" s="8" t="s">
        <v>12</v>
      </c>
      <c r="B8" s="8"/>
      <c r="C8" s="8"/>
      <c r="D8" s="8"/>
      <c r="E8" s="8"/>
      <c r="F8" s="8"/>
      <c r="G8" s="8"/>
      <c r="H8" s="8"/>
      <c r="I8" s="8"/>
      <c r="J8" s="8"/>
    </row>
    <row r="9" customFormat="false" ht="30" hidden="false" customHeight="true" outlineLevel="0" collapsed="false">
      <c r="A9" s="9" t="s">
        <v>13</v>
      </c>
      <c r="B9" s="10" t="s">
        <v>14</v>
      </c>
      <c r="C9" s="10" t="s">
        <v>15</v>
      </c>
      <c r="D9" s="9" t="s">
        <v>16</v>
      </c>
      <c r="E9" s="9" t="s">
        <v>17</v>
      </c>
      <c r="F9" s="9" t="s">
        <v>18</v>
      </c>
      <c r="G9" s="9" t="s">
        <v>19</v>
      </c>
      <c r="H9" s="9" t="s">
        <v>20</v>
      </c>
      <c r="I9" s="9" t="s">
        <v>21</v>
      </c>
      <c r="J9" s="9" t="s">
        <v>22</v>
      </c>
    </row>
    <row r="10" customFormat="false" ht="330" hidden="false" customHeight="true" outlineLevel="0" collapsed="false">
      <c r="A10" s="11" t="s">
        <v>23</v>
      </c>
      <c r="B10" s="12" t="s">
        <v>24</v>
      </c>
      <c r="C10" s="12" t="s">
        <v>25</v>
      </c>
      <c r="D10" s="13" t="s">
        <v>26</v>
      </c>
      <c r="E10" s="13" t="s">
        <v>27</v>
      </c>
      <c r="F10" s="13" t="s">
        <v>28</v>
      </c>
      <c r="G10" s="14" t="s">
        <v>29</v>
      </c>
      <c r="H10" s="13" t="s">
        <v>30</v>
      </c>
      <c r="I10" s="13" t="s">
        <v>31</v>
      </c>
      <c r="J10" s="13" t="s">
        <v>32</v>
      </c>
    </row>
    <row r="11" customFormat="false" ht="330" hidden="false" customHeight="true" outlineLevel="0" collapsed="false">
      <c r="A11" s="15" t="s">
        <v>33</v>
      </c>
      <c r="B11" s="16" t="s">
        <v>34</v>
      </c>
      <c r="C11" s="17" t="s">
        <v>35</v>
      </c>
      <c r="D11" s="18" t="s">
        <v>36</v>
      </c>
      <c r="E11" s="18" t="s">
        <v>37</v>
      </c>
      <c r="F11" s="18" t="s">
        <v>38</v>
      </c>
      <c r="G11" s="18" t="s">
        <v>29</v>
      </c>
      <c r="H11" s="18" t="s">
        <v>39</v>
      </c>
      <c r="I11" s="18" t="s">
        <v>40</v>
      </c>
      <c r="J11" s="18" t="s">
        <v>41</v>
      </c>
    </row>
    <row r="12" customFormat="false" ht="339.75" hidden="false" customHeight="true" outlineLevel="0" collapsed="false">
      <c r="A12" s="19" t="s">
        <v>42</v>
      </c>
      <c r="B12" s="14" t="s">
        <v>43</v>
      </c>
      <c r="C12" s="14" t="s">
        <v>44</v>
      </c>
      <c r="D12" s="14" t="s">
        <v>45</v>
      </c>
      <c r="E12" s="14" t="s">
        <v>46</v>
      </c>
      <c r="F12" s="14" t="s">
        <v>47</v>
      </c>
      <c r="G12" s="14" t="s">
        <v>29</v>
      </c>
      <c r="H12" s="14" t="s">
        <v>48</v>
      </c>
      <c r="I12" s="14" t="s">
        <v>49</v>
      </c>
      <c r="J12" s="14" t="s">
        <v>50</v>
      </c>
    </row>
    <row r="13" customFormat="false" ht="330" hidden="false" customHeight="true" outlineLevel="0" collapsed="false">
      <c r="A13" s="15" t="s">
        <v>51</v>
      </c>
      <c r="B13" s="18" t="s">
        <v>52</v>
      </c>
      <c r="C13" s="18" t="s">
        <v>53</v>
      </c>
      <c r="D13" s="18" t="s">
        <v>54</v>
      </c>
      <c r="E13" s="18" t="s">
        <v>55</v>
      </c>
      <c r="F13" s="18" t="s">
        <v>56</v>
      </c>
      <c r="G13" s="18" t="s">
        <v>29</v>
      </c>
      <c r="H13" s="18" t="s">
        <v>57</v>
      </c>
      <c r="I13" s="18" t="s">
        <v>58</v>
      </c>
      <c r="J13" s="18" t="s">
        <v>59</v>
      </c>
    </row>
    <row r="14" customFormat="false" ht="330" hidden="false" customHeight="true" outlineLevel="0" collapsed="false">
      <c r="A14" s="19" t="s">
        <v>60</v>
      </c>
      <c r="B14" s="14" t="s">
        <v>61</v>
      </c>
      <c r="C14" s="20" t="s">
        <v>62</v>
      </c>
      <c r="D14" s="14" t="s">
        <v>63</v>
      </c>
      <c r="E14" s="14" t="s">
        <v>64</v>
      </c>
      <c r="F14" s="14" t="s">
        <v>65</v>
      </c>
      <c r="G14" s="14" t="s">
        <v>29</v>
      </c>
      <c r="H14" s="14" t="s">
        <v>66</v>
      </c>
      <c r="I14" s="14" t="s">
        <v>67</v>
      </c>
      <c r="J14" s="14" t="s">
        <v>68</v>
      </c>
    </row>
    <row r="15" customFormat="false" ht="330" hidden="false" customHeight="true" outlineLevel="0" collapsed="false">
      <c r="A15" s="15" t="s">
        <v>69</v>
      </c>
      <c r="B15" s="18" t="s">
        <v>70</v>
      </c>
      <c r="C15" s="18" t="s">
        <v>71</v>
      </c>
      <c r="D15" s="18" t="s">
        <v>72</v>
      </c>
      <c r="E15" s="18" t="s">
        <v>73</v>
      </c>
      <c r="F15" s="18" t="s">
        <v>74</v>
      </c>
      <c r="G15" s="18" t="s">
        <v>29</v>
      </c>
      <c r="H15" s="18" t="s">
        <v>75</v>
      </c>
      <c r="I15" s="18" t="s">
        <v>76</v>
      </c>
      <c r="J15" s="18" t="s">
        <v>77</v>
      </c>
    </row>
    <row r="16" customFormat="false" ht="330" hidden="false" customHeight="true" outlineLevel="0" collapsed="false">
      <c r="A16" s="19" t="s">
        <v>78</v>
      </c>
      <c r="B16" s="14" t="s">
        <v>79</v>
      </c>
      <c r="C16" s="14" t="s">
        <v>80</v>
      </c>
      <c r="D16" s="14" t="s">
        <v>81</v>
      </c>
      <c r="E16" s="14" t="s">
        <v>82</v>
      </c>
      <c r="F16" s="14" t="s">
        <v>83</v>
      </c>
      <c r="G16" s="14" t="s">
        <v>84</v>
      </c>
      <c r="H16" s="14" t="s">
        <v>85</v>
      </c>
      <c r="I16" s="14" t="s">
        <v>86</v>
      </c>
      <c r="J16" s="14" t="s">
        <v>87</v>
      </c>
    </row>
    <row r="17" customFormat="false" ht="45.75" hidden="false" customHeight="true" outlineLevel="0" collapsed="false">
      <c r="A17" s="15" t="s">
        <v>88</v>
      </c>
      <c r="B17" s="18"/>
      <c r="C17" s="18"/>
      <c r="D17" s="18"/>
      <c r="E17" s="18"/>
      <c r="F17" s="18"/>
      <c r="G17" s="18"/>
      <c r="H17" s="18"/>
      <c r="I17" s="18"/>
      <c r="J17" s="18"/>
    </row>
    <row r="18" customFormat="false" ht="45.75" hidden="false" customHeight="true" outlineLevel="0" collapsed="false">
      <c r="A18" s="19" t="s">
        <v>89</v>
      </c>
      <c r="B18" s="14"/>
      <c r="C18" s="14"/>
      <c r="D18" s="14"/>
      <c r="E18" s="14"/>
      <c r="F18" s="14"/>
      <c r="G18" s="14"/>
      <c r="H18" s="14"/>
      <c r="I18" s="14"/>
      <c r="J18" s="14"/>
    </row>
    <row r="20" customFormat="false" ht="18" hidden="false" customHeight="true" outlineLevel="0" collapsed="false">
      <c r="A20" s="21" t="s">
        <v>90</v>
      </c>
      <c r="B20" s="21"/>
      <c r="C20" s="21"/>
      <c r="D20" s="21"/>
      <c r="E20" s="21"/>
      <c r="F20" s="21"/>
      <c r="G20" s="21"/>
      <c r="H20" s="21"/>
      <c r="I20" s="21"/>
      <c r="J20" s="21"/>
    </row>
    <row r="21" customFormat="false" ht="117.75" hidden="false" customHeight="true" outlineLevel="0" collapsed="false">
      <c r="A21" s="22" t="s">
        <v>91</v>
      </c>
      <c r="B21" s="22"/>
      <c r="C21" s="22"/>
      <c r="D21" s="22"/>
      <c r="E21" s="22"/>
      <c r="F21" s="22"/>
      <c r="G21" s="22"/>
      <c r="H21" s="22"/>
      <c r="I21" s="22"/>
      <c r="J21" s="22"/>
    </row>
    <row r="22" customFormat="false" ht="18" hidden="false" customHeight="true" outlineLevel="0" collapsed="false">
      <c r="A22" s="21" t="s">
        <v>92</v>
      </c>
      <c r="B22" s="21"/>
      <c r="C22" s="21"/>
      <c r="D22" s="21"/>
      <c r="E22" s="21"/>
      <c r="F22" s="21"/>
      <c r="G22" s="21"/>
      <c r="H22" s="21"/>
      <c r="I22" s="21"/>
      <c r="J22" s="21"/>
    </row>
    <row r="23" customFormat="false" ht="141.75" hidden="false" customHeight="true" outlineLevel="0" collapsed="false">
      <c r="A23" s="23" t="s">
        <v>93</v>
      </c>
      <c r="B23" s="23"/>
      <c r="C23" s="23"/>
      <c r="D23" s="23"/>
      <c r="E23" s="23"/>
      <c r="F23" s="23"/>
      <c r="G23" s="23"/>
      <c r="H23" s="23"/>
      <c r="I23" s="23"/>
      <c r="J23" s="23"/>
    </row>
    <row r="24" customFormat="false" ht="14.25" hidden="false" customHeight="true" outlineLevel="0" collapsed="false">
      <c r="A24" s="24" t="s">
        <v>94</v>
      </c>
      <c r="B24" s="24"/>
      <c r="C24" s="24"/>
      <c r="D24" s="24"/>
      <c r="E24" s="24"/>
      <c r="F24" s="24"/>
      <c r="G24" s="24"/>
      <c r="H24" s="24"/>
      <c r="I24" s="24"/>
      <c r="J24" s="24"/>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5" t="s">
        <v>95</v>
      </c>
      <c r="B1" s="25"/>
      <c r="C1" s="25"/>
      <c r="D1" s="25"/>
      <c r="E1" s="25"/>
      <c r="F1" s="25"/>
      <c r="G1" s="25"/>
      <c r="H1" s="25"/>
      <c r="I1" s="25"/>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96</v>
      </c>
      <c r="B4" s="9" t="s">
        <v>2</v>
      </c>
      <c r="C4" s="9" t="s">
        <v>97</v>
      </c>
      <c r="D4" s="9" t="s">
        <v>98</v>
      </c>
      <c r="E4" s="9" t="s">
        <v>99</v>
      </c>
      <c r="F4" s="9" t="s">
        <v>100</v>
      </c>
      <c r="G4" s="9" t="s">
        <v>101</v>
      </c>
      <c r="H4" s="9" t="s">
        <v>102</v>
      </c>
      <c r="I4" s="9" t="s">
        <v>103</v>
      </c>
    </row>
    <row r="5" customFormat="false" ht="42" hidden="false" customHeight="true" outlineLevel="0" collapsed="false">
      <c r="A5" s="19" t="s">
        <v>104</v>
      </c>
      <c r="B5" s="14" t="s">
        <v>3</v>
      </c>
      <c r="C5" s="14" t="s">
        <v>105</v>
      </c>
      <c r="D5" s="26"/>
      <c r="E5" s="14"/>
      <c r="F5" s="27"/>
      <c r="G5" s="18"/>
      <c r="H5" s="14"/>
      <c r="I5" s="14"/>
    </row>
    <row r="6" customFormat="false" ht="42" hidden="false" customHeight="true" outlineLevel="0" collapsed="false">
      <c r="A6" s="15" t="s">
        <v>106</v>
      </c>
      <c r="B6" s="14" t="s">
        <v>3</v>
      </c>
      <c r="C6" s="18" t="s">
        <v>105</v>
      </c>
      <c r="D6" s="28"/>
      <c r="E6" s="18"/>
      <c r="F6" s="18"/>
      <c r="G6" s="18"/>
      <c r="H6" s="18"/>
      <c r="I6" s="18"/>
    </row>
    <row r="7" customFormat="false" ht="30" hidden="false" customHeight="true" outlineLevel="0" collapsed="false">
      <c r="A7" s="29" t="s">
        <v>107</v>
      </c>
      <c r="B7" s="30" t="s">
        <v>3</v>
      </c>
      <c r="C7" s="30" t="s">
        <v>105</v>
      </c>
      <c r="D7" s="31"/>
      <c r="E7" s="30"/>
      <c r="F7" s="30"/>
      <c r="G7" s="18"/>
      <c r="H7" s="30"/>
      <c r="I7" s="32"/>
    </row>
    <row r="8" customFormat="false" ht="30" hidden="false" customHeight="true" outlineLevel="0" collapsed="false">
      <c r="A8" s="33"/>
      <c r="B8" s="33"/>
      <c r="C8" s="33"/>
      <c r="D8" s="33"/>
      <c r="E8" s="33"/>
      <c r="F8" s="33"/>
      <c r="G8" s="33"/>
      <c r="H8" s="33"/>
      <c r="I8" s="33"/>
    </row>
    <row r="9" customFormat="false" ht="30" hidden="false" customHeight="true" outlineLevel="0" collapsed="false">
      <c r="A9" s="30"/>
      <c r="B9" s="30"/>
      <c r="C9" s="30"/>
      <c r="D9" s="30"/>
      <c r="E9" s="30"/>
      <c r="F9" s="30"/>
      <c r="G9" s="30"/>
      <c r="H9" s="30"/>
      <c r="I9" s="30"/>
    </row>
    <row r="10" customFormat="false" ht="30" hidden="false" customHeight="true" outlineLevel="0" collapsed="false">
      <c r="A10" s="33"/>
      <c r="B10" s="33"/>
      <c r="C10" s="33"/>
      <c r="D10" s="33"/>
      <c r="E10" s="33"/>
      <c r="F10" s="33"/>
      <c r="G10" s="33"/>
      <c r="H10" s="33"/>
      <c r="I10" s="33"/>
    </row>
    <row r="11" customFormat="false" ht="30" hidden="false" customHeight="true" outlineLevel="0" collapsed="false">
      <c r="A11" s="30"/>
      <c r="B11" s="30"/>
      <c r="C11" s="30"/>
      <c r="D11" s="30"/>
      <c r="E11" s="30"/>
      <c r="F11" s="30"/>
      <c r="G11" s="30"/>
      <c r="H11" s="30"/>
      <c r="I11" s="30"/>
    </row>
    <row r="12" customFormat="false" ht="30" hidden="false" customHeight="true" outlineLevel="0" collapsed="false">
      <c r="A12" s="33"/>
      <c r="B12" s="33"/>
      <c r="C12" s="33"/>
      <c r="D12" s="33"/>
      <c r="E12" s="33"/>
      <c r="F12" s="33"/>
      <c r="G12" s="33"/>
      <c r="H12" s="33"/>
      <c r="I12" s="33"/>
    </row>
    <row r="13" customFormat="false" ht="30" hidden="false" customHeight="true" outlineLevel="0" collapsed="false">
      <c r="A13" s="30"/>
      <c r="B13" s="30"/>
      <c r="C13" s="30"/>
      <c r="D13" s="30"/>
      <c r="E13" s="30"/>
      <c r="F13" s="30"/>
      <c r="G13" s="30"/>
      <c r="H13" s="30"/>
      <c r="I13" s="30"/>
    </row>
    <row r="14" customFormat="false" ht="30" hidden="false" customHeight="true" outlineLevel="0" collapsed="false">
      <c r="A14" s="33"/>
      <c r="B14" s="33"/>
      <c r="C14" s="33"/>
      <c r="D14" s="33"/>
      <c r="E14" s="33"/>
      <c r="F14" s="33"/>
      <c r="G14" s="33"/>
      <c r="H14" s="33"/>
      <c r="I14" s="33"/>
    </row>
    <row r="15" customFormat="false" ht="30" hidden="false" customHeight="true" outlineLevel="0" collapsed="false">
      <c r="A15" s="30"/>
      <c r="B15" s="30"/>
      <c r="C15" s="30"/>
      <c r="D15" s="30"/>
      <c r="E15" s="30"/>
      <c r="F15" s="30"/>
      <c r="G15" s="30"/>
      <c r="H15" s="30"/>
      <c r="I15" s="30"/>
    </row>
    <row r="16" customFormat="false" ht="30" hidden="false" customHeight="true" outlineLevel="0" collapsed="false">
      <c r="A16" s="33"/>
      <c r="B16" s="33"/>
      <c r="C16" s="33"/>
      <c r="D16" s="33"/>
      <c r="E16" s="33"/>
      <c r="F16" s="33"/>
      <c r="G16" s="33"/>
      <c r="H16" s="33"/>
      <c r="I16" s="33"/>
    </row>
    <row r="17" customFormat="false" ht="30" hidden="false" customHeight="true" outlineLevel="0" collapsed="false">
      <c r="A17" s="30"/>
      <c r="B17" s="30"/>
      <c r="C17" s="30"/>
      <c r="D17" s="30"/>
      <c r="E17" s="30"/>
      <c r="F17" s="30"/>
      <c r="G17" s="30"/>
      <c r="H17" s="30"/>
      <c r="I17" s="30"/>
    </row>
    <row r="18" customFormat="false" ht="30" hidden="false" customHeight="true" outlineLevel="0" collapsed="false">
      <c r="A18" s="33"/>
      <c r="B18" s="33"/>
      <c r="C18" s="33"/>
      <c r="D18" s="33"/>
      <c r="E18" s="33"/>
      <c r="F18" s="33"/>
      <c r="G18" s="33"/>
      <c r="H18" s="33"/>
      <c r="I18" s="33"/>
    </row>
    <row r="19" customFormat="false" ht="15" hidden="false" customHeight="true" outlineLevel="0" collapsed="false"/>
  </sheetData>
  <mergeCells count="2">
    <mergeCell ref="A1:I1"/>
    <mergeCell ref="A2:I2"/>
  </mergeCells>
  <conditionalFormatting sqref="B5:B18">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8"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11" activePane="bottomLeft" state="frozen"/>
      <selection pane="topLeft" activeCell="A1" activeCellId="0" sqref="A1"/>
      <selection pane="bottomLeft" activeCell="D6" activeCellId="0" sqref="D6"/>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4" t="s">
        <v>108</v>
      </c>
      <c r="B1" s="34"/>
      <c r="C1" s="34"/>
      <c r="D1" s="34"/>
      <c r="E1" s="34"/>
      <c r="F1" s="34"/>
      <c r="G1" s="34"/>
      <c r="H1" s="34"/>
      <c r="I1" s="34"/>
    </row>
    <row r="2" customFormat="false" ht="14.25" hidden="false" customHeight="true" outlineLevel="0" collapsed="false">
      <c r="A2" s="35" t="s">
        <v>109</v>
      </c>
      <c r="B2" s="35"/>
      <c r="C2" s="35"/>
      <c r="D2" s="35"/>
      <c r="E2" s="35"/>
      <c r="F2" s="35"/>
      <c r="G2" s="35"/>
      <c r="H2" s="35"/>
      <c r="I2" s="35"/>
    </row>
    <row r="3" customFormat="false" ht="18" hidden="false" customHeight="true" outlineLevel="0" collapsed="false">
      <c r="A3" s="36" t="s">
        <v>110</v>
      </c>
      <c r="B3" s="37" t="s">
        <v>111</v>
      </c>
      <c r="C3" s="37"/>
      <c r="D3" s="38" t="s">
        <v>112</v>
      </c>
      <c r="E3" s="37" t="s">
        <v>113</v>
      </c>
      <c r="F3" s="37"/>
      <c r="G3" s="39" t="s">
        <v>114</v>
      </c>
      <c r="H3" s="37" t="s">
        <v>115</v>
      </c>
      <c r="I3" s="37"/>
    </row>
    <row r="5" customFormat="false" ht="27.75" hidden="false" customHeight="true" outlineLevel="0" collapsed="false">
      <c r="A5" s="9" t="s">
        <v>116</v>
      </c>
      <c r="B5" s="9" t="s">
        <v>2</v>
      </c>
      <c r="C5" s="9" t="s">
        <v>13</v>
      </c>
      <c r="D5" s="9" t="s">
        <v>117</v>
      </c>
      <c r="E5" s="9" t="s">
        <v>118</v>
      </c>
      <c r="F5" s="9" t="s">
        <v>119</v>
      </c>
      <c r="G5" s="9" t="s">
        <v>120</v>
      </c>
      <c r="H5" s="9" t="s">
        <v>121</v>
      </c>
      <c r="I5" s="9" t="s">
        <v>122</v>
      </c>
    </row>
    <row r="6" customFormat="false" ht="58.5" hidden="false" customHeight="true" outlineLevel="0" collapsed="false">
      <c r="A6" s="40" t="n">
        <v>46267</v>
      </c>
      <c r="B6" s="14" t="s">
        <v>3</v>
      </c>
      <c r="C6" s="41" t="s">
        <v>23</v>
      </c>
      <c r="D6" s="42" t="s">
        <v>123</v>
      </c>
      <c r="E6" s="30"/>
      <c r="F6" s="43"/>
      <c r="G6" s="30"/>
      <c r="H6" s="43"/>
      <c r="I6" s="30"/>
    </row>
    <row r="7" customFormat="false" ht="30" hidden="false" customHeight="true" outlineLevel="0" collapsed="false">
      <c r="A7" s="40" t="n">
        <v>46266</v>
      </c>
      <c r="B7" s="14" t="s">
        <v>3</v>
      </c>
      <c r="C7" s="30" t="s">
        <v>33</v>
      </c>
      <c r="D7" s="44" t="s">
        <v>35</v>
      </c>
      <c r="E7" s="30"/>
      <c r="F7" s="43"/>
      <c r="G7" s="30"/>
      <c r="H7" s="43"/>
      <c r="I7" s="30"/>
    </row>
    <row r="8" customFormat="false" ht="30" hidden="false" customHeight="true" outlineLevel="0" collapsed="false">
      <c r="A8" s="40" t="n">
        <v>46266</v>
      </c>
      <c r="B8" s="14" t="s">
        <v>3</v>
      </c>
      <c r="C8" s="14" t="s">
        <v>42</v>
      </c>
      <c r="D8" s="14" t="s">
        <v>124</v>
      </c>
      <c r="E8" s="14"/>
      <c r="F8" s="14"/>
      <c r="G8" s="14"/>
      <c r="H8" s="14"/>
      <c r="I8" s="14"/>
    </row>
    <row r="9" customFormat="false" ht="30" hidden="false" customHeight="true" outlineLevel="0" collapsed="false">
      <c r="A9" s="40" t="n">
        <v>46266</v>
      </c>
      <c r="B9" s="14" t="s">
        <v>3</v>
      </c>
      <c r="C9" s="14" t="s">
        <v>51</v>
      </c>
      <c r="D9" s="14" t="s">
        <v>53</v>
      </c>
      <c r="E9" s="14"/>
      <c r="F9" s="14"/>
      <c r="G9" s="14"/>
      <c r="H9" s="14"/>
      <c r="I9" s="14"/>
    </row>
    <row r="10" customFormat="false" ht="30" hidden="false" customHeight="true" outlineLevel="0" collapsed="false">
      <c r="A10" s="40" t="n">
        <v>46266</v>
      </c>
      <c r="B10" s="14" t="s">
        <v>3</v>
      </c>
      <c r="C10" s="14" t="s">
        <v>69</v>
      </c>
      <c r="D10" s="14" t="s">
        <v>71</v>
      </c>
      <c r="E10" s="14"/>
      <c r="F10" s="14"/>
      <c r="G10" s="14"/>
      <c r="H10" s="14"/>
      <c r="I10" s="14"/>
    </row>
    <row r="11" customFormat="false" ht="30" hidden="false" customHeight="true" outlineLevel="0" collapsed="false">
      <c r="A11" s="40" t="n">
        <v>46266</v>
      </c>
      <c r="B11" s="14" t="s">
        <v>3</v>
      </c>
      <c r="C11" s="14" t="s">
        <v>78</v>
      </c>
      <c r="D11" s="14" t="s">
        <v>80</v>
      </c>
      <c r="E11" s="14"/>
      <c r="F11" s="14"/>
      <c r="G11" s="14"/>
      <c r="H11" s="14"/>
      <c r="I11" s="14"/>
    </row>
    <row r="12" customFormat="false" ht="30" hidden="false" customHeight="true" outlineLevel="0" collapsed="false">
      <c r="A12" s="40" t="n">
        <v>46266</v>
      </c>
      <c r="B12" s="14" t="s">
        <v>3</v>
      </c>
      <c r="C12" s="41" t="s">
        <v>60</v>
      </c>
      <c r="D12" s="20" t="s">
        <v>62</v>
      </c>
      <c r="E12" s="33"/>
      <c r="F12" s="33"/>
      <c r="G12" s="33"/>
      <c r="H12" s="33"/>
      <c r="I12" s="33"/>
    </row>
    <row r="13" customFormat="false" ht="30" hidden="false" customHeight="true" outlineLevel="0" collapsed="false">
      <c r="A13" s="33"/>
      <c r="B13" s="33"/>
      <c r="C13" s="41"/>
      <c r="D13" s="33"/>
      <c r="E13" s="33"/>
      <c r="F13" s="33"/>
      <c r="G13" s="33"/>
      <c r="H13" s="33"/>
      <c r="I13" s="33"/>
    </row>
    <row r="14" customFormat="false" ht="30" hidden="false" customHeight="true" outlineLevel="0" collapsed="false">
      <c r="A14" s="30"/>
      <c r="B14" s="43"/>
      <c r="C14" s="30"/>
      <c r="D14" s="30"/>
      <c r="E14" s="30"/>
      <c r="F14" s="43"/>
      <c r="G14" s="30"/>
      <c r="H14" s="43"/>
      <c r="I14" s="30"/>
    </row>
    <row r="15" customFormat="false" ht="25.5" hidden="false" customHeight="true" outlineLevel="0" collapsed="false">
      <c r="A15" s="33"/>
      <c r="B15" s="33"/>
      <c r="C15" s="41"/>
      <c r="D15" s="33"/>
      <c r="E15" s="33"/>
      <c r="F15" s="33"/>
      <c r="G15" s="33"/>
      <c r="H15" s="33"/>
      <c r="I15" s="33"/>
    </row>
    <row r="16" customFormat="false" ht="25.5" hidden="false" customHeight="true" outlineLevel="0" collapsed="false">
      <c r="A16" s="30"/>
      <c r="B16" s="43"/>
      <c r="C16" s="30"/>
      <c r="D16" s="30"/>
      <c r="E16" s="30"/>
      <c r="F16" s="43"/>
      <c r="G16" s="30"/>
      <c r="H16" s="43"/>
      <c r="I16" s="30"/>
    </row>
    <row r="17" customFormat="false" ht="25.5" hidden="false" customHeight="true" outlineLevel="0" collapsed="false">
      <c r="A17" s="33"/>
      <c r="B17" s="33"/>
      <c r="C17" s="41"/>
      <c r="D17" s="33"/>
      <c r="E17" s="33"/>
      <c r="F17" s="33"/>
      <c r="G17" s="33"/>
      <c r="H17" s="33"/>
      <c r="I17" s="33"/>
    </row>
    <row r="18" customFormat="false" ht="25.5" hidden="false" customHeight="true" outlineLevel="0" collapsed="false">
      <c r="A18" s="30"/>
      <c r="B18" s="43"/>
      <c r="C18" s="30"/>
      <c r="D18" s="30"/>
      <c r="E18" s="30"/>
      <c r="F18" s="43"/>
      <c r="G18" s="30"/>
      <c r="H18" s="43"/>
      <c r="I18" s="30"/>
    </row>
    <row r="19" customFormat="false" ht="25.5" hidden="false" customHeight="true" outlineLevel="0" collapsed="false">
      <c r="A19" s="33"/>
      <c r="B19" s="33"/>
      <c r="C19" s="41"/>
      <c r="D19" s="33"/>
      <c r="E19" s="33"/>
      <c r="F19" s="33"/>
      <c r="G19" s="33"/>
      <c r="H19" s="33"/>
      <c r="I19" s="33"/>
    </row>
    <row r="20" customFormat="false" ht="25.5" hidden="false" customHeight="true" outlineLevel="0" collapsed="false">
      <c r="A20" s="30"/>
      <c r="B20" s="43"/>
      <c r="C20" s="30"/>
      <c r="D20" s="30"/>
      <c r="E20" s="30"/>
      <c r="F20" s="43"/>
      <c r="G20" s="30"/>
      <c r="H20" s="43"/>
      <c r="I20" s="30"/>
    </row>
    <row r="21" customFormat="false" ht="25.5" hidden="false" customHeight="true" outlineLevel="0" collapsed="false">
      <c r="A21" s="33"/>
      <c r="B21" s="33"/>
      <c r="C21" s="41"/>
      <c r="D21" s="33"/>
      <c r="E21" s="33"/>
      <c r="F21" s="33"/>
      <c r="G21" s="33"/>
      <c r="H21" s="33"/>
      <c r="I21" s="33"/>
    </row>
    <row r="22" customFormat="false" ht="25.5" hidden="false" customHeight="true" outlineLevel="0" collapsed="false"/>
    <row r="23" customFormat="false" ht="25.5" hidden="false" customHeight="true" outlineLevel="0" collapsed="false">
      <c r="C23" s="45" t="s">
        <v>125</v>
      </c>
      <c r="D23" s="46" t="n">
        <f aca="false">COUNTIF($F$8:$F$18,"Green")</f>
        <v>0</v>
      </c>
      <c r="E23" s="47" t="n">
        <f aca="false">COUNTIF($F$8:$F$18,"Amber")</f>
        <v>0</v>
      </c>
      <c r="F23" s="48" t="n">
        <f aca="false">COUNTIF($F$8:$F$18,"Red")</f>
        <v>0</v>
      </c>
    </row>
    <row r="24" customFormat="false" ht="25.5" hidden="false" customHeight="true" outlineLevel="0" collapsed="false">
      <c r="D24" s="49" t="s">
        <v>126</v>
      </c>
      <c r="E24" s="49" t="s">
        <v>127</v>
      </c>
      <c r="F24" s="49" t="s">
        <v>128</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