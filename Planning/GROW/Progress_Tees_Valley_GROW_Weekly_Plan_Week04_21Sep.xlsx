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Weekly Plan" sheetId="1" state="visible" r:id="rId1"/>
    <sheet name="Students" sheetId="2" state="visible" r:id="rId2"/>
    <sheet name="Outcomes RAG"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d\-mmm\-yy"/>
  </numFmts>
  <fonts count="27">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8"/>
    </font>
    <font>
      <name val="Arial"/>
      <charset val="1"/>
      <family val="0"/>
      <color rgb="FF566159"/>
      <sz val="10"/>
    </font>
    <font>
      <name val="Arial"/>
      <charset val="1"/>
      <family val="0"/>
      <b val="1"/>
      <color rgb="FF566159"/>
      <sz val="9"/>
    </font>
    <font>
      <name val="Arial"/>
      <charset val="1"/>
      <family val="0"/>
      <b val="1"/>
      <color rgb="FF1B2420"/>
      <sz val="10"/>
    </font>
    <font>
      <name val="Arial"/>
      <charset val="1"/>
      <family val="0"/>
      <b val="1"/>
      <color rgb="FF2E7D4F"/>
      <sz val="10"/>
    </font>
    <font>
      <name val="Arial"/>
      <charset val="1"/>
      <family val="0"/>
      <color rgb="FF2E2A5D"/>
      <sz val="9"/>
    </font>
    <font>
      <name val="Arial"/>
      <charset val="1"/>
      <family val="0"/>
      <b val="1"/>
      <color rgb="FFFFFFFF"/>
      <sz val="9"/>
    </font>
    <font>
      <name val="Arial"/>
      <charset val="1"/>
      <family val="0"/>
      <b val="1"/>
      <color rgb="FF1B2420"/>
      <sz val="9"/>
    </font>
    <font>
      <name val="Arial"/>
      <charset val="1"/>
      <family val="2"/>
      <color rgb="FF000000"/>
      <sz val="9"/>
    </font>
    <font>
      <name val="Aptos"/>
      <charset val="1"/>
      <family val="2"/>
      <color rgb="FF000000"/>
      <sz val="10"/>
    </font>
    <font>
      <name val="Arial"/>
      <charset val="1"/>
      <family val="0"/>
      <color rgb="FF1B2420"/>
      <sz val="9"/>
    </font>
    <font>
      <name val="Arial"/>
      <charset val="1"/>
      <family val="2"/>
      <color rgb="FF1B2420"/>
      <sz val="9"/>
    </font>
    <font>
      <name val="Arial"/>
      <charset val="1"/>
      <family val="2"/>
      <color theme="1"/>
      <sz val="9"/>
    </font>
    <font>
      <name val="Aptos"/>
      <charset val="1"/>
      <family val="2"/>
      <color rgb="FF222222"/>
      <sz val="9"/>
    </font>
    <font>
      <name val="Arial"/>
      <charset val="1"/>
      <family val="0"/>
      <i val="1"/>
      <color rgb="FF566159"/>
      <sz val="8"/>
    </font>
    <font>
      <name val="Arial"/>
      <charset val="1"/>
      <family val="0"/>
      <b val="1"/>
      <color rgb="FFFFFFFF"/>
      <sz val="16"/>
    </font>
    <font>
      <name val="Arial"/>
      <charset val="1"/>
      <family val="0"/>
      <color theme="1"/>
      <sz val="9"/>
    </font>
    <font>
      <name val="Calibri"/>
      <charset val="1"/>
      <family val="2"/>
      <b val="1"/>
      <color theme="1"/>
      <sz val="11"/>
    </font>
    <font>
      <name val="Arial"/>
      <charset val="1"/>
      <family val="2"/>
      <b val="1"/>
      <color rgb="FFFFFFFF"/>
      <sz val="16"/>
    </font>
    <font>
      <name val="Arial"/>
      <charset val="1"/>
      <family val="2"/>
      <sz val="10"/>
    </font>
    <font>
      <name val="Arial"/>
      <charset val="1"/>
      <family val="2"/>
      <sz val="9"/>
    </font>
    <font>
      <name val="Arial"/>
      <charset val="1"/>
      <family val="0"/>
      <b val="1"/>
      <color rgb="FFFFFFFF"/>
      <sz val="10"/>
    </font>
    <font>
      <name val="Arial"/>
      <charset val="1"/>
      <family val="0"/>
      <color rgb="FF566159"/>
      <sz val="8"/>
    </font>
  </fonts>
  <fills count="10">
    <fill>
      <patternFill/>
    </fill>
    <fill>
      <patternFill patternType="gray125"/>
    </fill>
    <fill>
      <patternFill patternType="solid">
        <fgColor rgb="FFD6006E"/>
        <bgColor rgb="FF800080"/>
      </patternFill>
    </fill>
    <fill>
      <patternFill patternType="solid">
        <fgColor rgb="FFFBE3F0"/>
        <bgColor rgb="FFEFE9F2"/>
      </patternFill>
    </fill>
    <fill>
      <patternFill patternType="solid">
        <fgColor rgb="FFEFE9F2"/>
        <bgColor rgb="FFFBE3F0"/>
      </patternFill>
    </fill>
    <fill>
      <patternFill patternType="solid">
        <fgColor rgb="FFFFFFFF"/>
        <bgColor rgb="FFF4F7F3"/>
      </patternFill>
    </fill>
    <fill>
      <patternFill patternType="solid">
        <fgColor rgb="FFF4F7F3"/>
        <bgColor rgb="FFFFFFFF"/>
      </patternFill>
    </fill>
    <fill>
      <patternFill patternType="solid">
        <fgColor rgb="FF2E7D4F"/>
        <bgColor rgb="FF1F6F7A"/>
      </patternFill>
    </fill>
    <fill>
      <patternFill patternType="solid">
        <fgColor rgb="FFD9A227"/>
        <bgColor rgb="FFB8742A"/>
      </patternFill>
    </fill>
    <fill>
      <patternFill patternType="solid">
        <fgColor rgb="FFC0392B"/>
        <bgColor rgb="FF993366"/>
      </patternFill>
    </fill>
  </fills>
  <borders count="13">
    <border>
      <left/>
      <right/>
      <top/>
      <bottom/>
      <diagonal/>
    </border>
    <border>
      <left/>
      <right/>
      <top/>
      <bottom style="thin">
        <color rgb="FFC3CDC1"/>
      </bottom>
      <diagonal/>
    </border>
    <border>
      <left style="thin">
        <color rgb="FFC9C9D6"/>
      </left>
      <right style="thin">
        <color rgb="FFC9C9D6"/>
      </right>
      <top style="thin">
        <color rgb="FFC9C9D6"/>
      </top>
      <bottom style="thin">
        <color rgb="FFC9C9D6"/>
      </bottom>
      <diagonal/>
    </border>
    <border>
      <left style="thin">
        <color rgb="FFC3CDC1"/>
      </left>
      <right style="thin">
        <color rgb="FFC3CDC1"/>
      </right>
      <top style="thin">
        <color rgb="FFC3CDC1"/>
      </top>
      <bottom style="thin">
        <color rgb="FFC3CDC1"/>
      </bottom>
      <diagonal/>
    </border>
    <border>
      <left style="thin"/>
      <right style="thin"/>
      <top style="thin"/>
      <bottom style="thin"/>
      <diagonal/>
    </border>
    <border>
      <left/>
      <right/>
      <top style="thin">
        <color rgb="FFC9C9D6"/>
      </top>
      <bottom/>
      <diagonal/>
    </border>
    <border>
      <left/>
      <right style="thin">
        <color rgb="FFC9C9D6"/>
      </right>
      <top style="thin">
        <color rgb="FFC9C9D6"/>
      </top>
      <bottom/>
      <diagonal/>
    </border>
    <border>
      <left/>
      <right/>
      <top style="thin">
        <color rgb="FFC9C9D6"/>
      </top>
      <bottom style="thin">
        <color rgb="FFC9C9D6"/>
      </bottom>
      <diagonal/>
    </border>
    <border>
      <left/>
      <right style="thin">
        <color rgb="FFC9C9D6"/>
      </right>
      <top style="thin">
        <color rgb="FFC9C9D6"/>
      </top>
      <bottom style="thin">
        <color rgb="FFC9C9D6"/>
      </bottom>
      <diagonal/>
    </border>
    <border>
      <left/>
      <right/>
      <top style="thin">
        <color rgb="FFC3CDC1"/>
      </top>
      <bottom/>
      <diagonal/>
    </border>
    <border>
      <left/>
      <right style="thin">
        <color rgb="FFC3CDC1"/>
      </right>
      <top style="thin">
        <color rgb="FFC3CDC1"/>
      </top>
      <bottom/>
      <diagonal/>
    </border>
    <border>
      <left/>
      <right/>
      <top style="thin">
        <color rgb="FFC3CDC1"/>
      </top>
      <bottom style="thin">
        <color rgb="FFC3CDC1"/>
      </bottom>
      <diagonal/>
    </border>
    <border>
      <left/>
      <right style="thin">
        <color rgb="FFC3CDC1"/>
      </right>
      <top style="thin">
        <color rgb="FFC3CDC1"/>
      </top>
      <bottom style="thin">
        <color rgb="FFC3CDC1"/>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xf>
    <xf numFmtId="0" fontId="5" fillId="0" borderId="0" applyAlignment="1" pivotButton="0" quotePrefix="0" xfId="0">
      <alignment horizontal="left" vertical="center"/>
    </xf>
    <xf numFmtId="0" fontId="6" fillId="3" borderId="0" applyAlignment="1" pivotButton="0" quotePrefix="0" xfId="0">
      <alignment horizontal="left" vertical="center"/>
    </xf>
    <xf numFmtId="0" fontId="7" fillId="0" borderId="1" applyAlignment="1" pivotButton="0" quotePrefix="0" xfId="0">
      <alignment horizontal="left" vertical="center"/>
    </xf>
    <xf numFmtId="0" fontId="8" fillId="0" borderId="1" applyAlignment="1" pivotButton="0" quotePrefix="0" xfId="0">
      <alignment horizontal="left" vertical="center"/>
    </xf>
    <xf numFmtId="164" fontId="7" fillId="0" borderId="1" applyAlignment="1" pivotButton="0" quotePrefix="0" xfId="0">
      <alignment horizontal="left" vertical="center"/>
    </xf>
    <xf numFmtId="0" fontId="9" fillId="4" borderId="2" applyAlignment="1" pivotButton="0" quotePrefix="0" xfId="0">
      <alignment horizontal="general" vertical="top" wrapText="1"/>
    </xf>
    <xf numFmtId="0" fontId="10" fillId="2" borderId="3" applyAlignment="1" pivotButton="0" quotePrefix="0" xfId="0">
      <alignment horizontal="center" vertical="center" wrapText="1"/>
    </xf>
    <xf numFmtId="0" fontId="11" fillId="5" borderId="3" applyAlignment="1" pivotButton="0" quotePrefix="0" xfId="0">
      <alignment horizontal="left" vertical="center" wrapText="1"/>
    </xf>
    <xf numFmtId="0" fontId="12" fillId="5" borderId="4" applyAlignment="1" pivotButton="0" quotePrefix="0" xfId="0">
      <alignment horizontal="general" vertical="bottom" wrapText="1"/>
    </xf>
    <xf numFmtId="0" fontId="13" fillId="5" borderId="4" applyAlignment="1" pivotButton="0" quotePrefix="0" xfId="0">
      <alignment horizontal="general" vertical="bottom" wrapText="1"/>
    </xf>
    <xf numFmtId="0" fontId="14" fillId="5" borderId="3" applyAlignment="1" pivotButton="0" quotePrefix="0" xfId="0">
      <alignment horizontal="left" vertical="center" wrapText="1"/>
    </xf>
    <xf numFmtId="0" fontId="11" fillId="6" borderId="3" applyAlignment="1" pivotButton="0" quotePrefix="0" xfId="0">
      <alignment horizontal="left" vertical="center" wrapText="1"/>
    </xf>
    <xf numFmtId="0" fontId="15" fillId="6" borderId="3" applyAlignment="1" pivotButton="0" quotePrefix="0" xfId="0">
      <alignment horizontal="left" vertical="center" wrapText="1"/>
    </xf>
    <xf numFmtId="0" fontId="16" fillId="6" borderId="3" applyAlignment="1" pivotButton="0" quotePrefix="0" xfId="0">
      <alignment horizontal="left" vertical="center" wrapText="1"/>
    </xf>
    <xf numFmtId="0" fontId="14" fillId="6" borderId="3" applyAlignment="1" pivotButton="0" quotePrefix="0" xfId="0">
      <alignment horizontal="left" vertical="center" wrapText="1"/>
    </xf>
    <xf numFmtId="0" fontId="17" fillId="5" borderId="4" applyAlignment="1" pivotButton="0" quotePrefix="0" xfId="0">
      <alignment horizontal="left" vertical="top" wrapText="1"/>
    </xf>
    <xf numFmtId="0" fontId="15" fillId="5" borderId="3" applyAlignment="1" pivotButton="0" quotePrefix="0" xfId="0">
      <alignment horizontal="left" vertical="center" wrapText="1"/>
    </xf>
    <xf numFmtId="0" fontId="10" fillId="2" borderId="0" applyAlignment="1" pivotButton="0" quotePrefix="0" xfId="0">
      <alignment horizontal="left" vertical="center"/>
    </xf>
    <xf numFmtId="0" fontId="14" fillId="6" borderId="3" applyAlignment="1" pivotButton="0" quotePrefix="0" xfId="0">
      <alignment horizontal="general" vertical="top" wrapText="1"/>
    </xf>
    <xf numFmtId="0" fontId="15" fillId="6" borderId="3" applyAlignment="1" pivotButton="0" quotePrefix="0" xfId="0">
      <alignment horizontal="general" vertical="top" wrapText="1"/>
    </xf>
    <xf numFmtId="0" fontId="18" fillId="0" borderId="0" applyAlignment="1" pivotButton="0" quotePrefix="0" xfId="0">
      <alignment horizontal="left" vertical="center"/>
    </xf>
    <xf numFmtId="0" fontId="19" fillId="2" borderId="0" applyAlignment="1" pivotButton="0" quotePrefix="0" xfId="0">
      <alignment horizontal="left" vertical="center"/>
    </xf>
    <xf numFmtId="49" fontId="14" fillId="5" borderId="3" applyAlignment="1" pivotButton="0" quotePrefix="0" xfId="0">
      <alignment horizontal="left" vertical="center" wrapText="1"/>
    </xf>
    <xf numFmtId="0" fontId="20" fillId="0" borderId="0" applyAlignment="1" pivotButton="0" quotePrefix="0" xfId="0">
      <alignment horizontal="general" vertical="bottom" wrapText="1"/>
    </xf>
    <xf numFmtId="49" fontId="14" fillId="6" borderId="3" applyAlignment="1" pivotButton="0" quotePrefix="0" xfId="0">
      <alignment horizontal="left" vertical="center" wrapText="1"/>
    </xf>
    <xf numFmtId="0" fontId="21" fillId="6" borderId="3" applyAlignment="1" pivotButton="0" quotePrefix="0" xfId="0">
      <alignment horizontal="left" vertical="center" wrapText="1"/>
    </xf>
    <xf numFmtId="0" fontId="0" fillId="6" borderId="3" applyAlignment="1" pivotButton="0" quotePrefix="0" xfId="0">
      <alignment horizontal="left" vertical="center" wrapText="1"/>
    </xf>
    <xf numFmtId="49" fontId="0" fillId="6" borderId="3" applyAlignment="1" pivotButton="0" quotePrefix="0" xfId="0">
      <alignment horizontal="left" vertical="center" wrapText="1"/>
    </xf>
    <xf numFmtId="0" fontId="0" fillId="0" borderId="0" applyAlignment="1" pivotButton="0" quotePrefix="0" xfId="0">
      <alignment horizontal="general" vertical="center" wrapText="1"/>
    </xf>
    <xf numFmtId="0" fontId="0" fillId="6" borderId="3" applyAlignment="1" pivotButton="0" quotePrefix="0" xfId="0">
      <alignment horizontal="left" vertical="center" wrapText="1"/>
    </xf>
    <xf numFmtId="0" fontId="0" fillId="5" borderId="3" applyAlignment="1" pivotButton="0" quotePrefix="0" xfId="0">
      <alignment horizontal="left" vertical="center" wrapText="1"/>
    </xf>
    <xf numFmtId="0" fontId="22" fillId="2" borderId="0" applyAlignment="1" pivotButton="0" quotePrefix="0" xfId="0">
      <alignment horizontal="left" vertical="center"/>
    </xf>
    <xf numFmtId="0" fontId="23" fillId="0" borderId="0" applyAlignment="1" pivotButton="0" quotePrefix="0" xfId="0">
      <alignment horizontal="left" vertical="center"/>
    </xf>
    <xf numFmtId="0" fontId="10" fillId="7" borderId="0" applyAlignment="1" pivotButton="0" quotePrefix="0" xfId="0">
      <alignment horizontal="center" vertical="center"/>
    </xf>
    <xf numFmtId="0" fontId="24" fillId="0" borderId="0" applyAlignment="1" pivotButton="0" quotePrefix="0" xfId="0">
      <alignment horizontal="left" vertical="center"/>
    </xf>
    <xf numFmtId="0" fontId="10" fillId="8" borderId="0" applyAlignment="1" pivotButton="0" quotePrefix="0" xfId="0">
      <alignment horizontal="center" vertical="center"/>
    </xf>
    <xf numFmtId="0" fontId="10" fillId="9" borderId="0" applyAlignment="1" pivotButton="0" quotePrefix="0" xfId="0">
      <alignment horizontal="center" vertical="center"/>
    </xf>
    <xf numFmtId="164" fontId="11" fillId="5" borderId="3" applyAlignment="1" pivotButton="0" quotePrefix="0" xfId="0">
      <alignment horizontal="left" vertical="center" wrapText="1"/>
    </xf>
    <xf numFmtId="0" fontId="0" fillId="5" borderId="3" applyAlignment="1" pivotButton="0" quotePrefix="0" xfId="0">
      <alignment horizontal="left" vertical="center" wrapText="1"/>
    </xf>
    <xf numFmtId="0" fontId="6" fillId="0" borderId="0" applyAlignment="1" pivotButton="0" quotePrefix="0" xfId="0">
      <alignment horizontal="general" vertical="bottom"/>
    </xf>
    <xf numFmtId="0" fontId="25" fillId="7" borderId="0" applyAlignment="1" pivotButton="0" quotePrefix="0" xfId="0">
      <alignment horizontal="center" vertical="center"/>
    </xf>
    <xf numFmtId="0" fontId="25" fillId="8" borderId="0" applyAlignment="1" pivotButton="0" quotePrefix="0" xfId="0">
      <alignment horizontal="center" vertical="center"/>
    </xf>
    <xf numFmtId="0" fontId="25" fillId="9" borderId="0" applyAlignment="1" pivotButton="0" quotePrefix="0" xfId="0">
      <alignment horizontal="center" vertical="center"/>
    </xf>
    <xf numFmtId="0" fontId="26" fillId="0" borderId="0"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xf>
    <xf numFmtId="0" fontId="5" fillId="0" borderId="0" applyAlignment="1" pivotButton="0" quotePrefix="0" xfId="0">
      <alignment horizontal="left" vertical="center"/>
    </xf>
    <xf numFmtId="0" fontId="6" fillId="3" borderId="0" applyAlignment="1" pivotButton="0" quotePrefix="0" xfId="0">
      <alignment horizontal="left" vertical="center"/>
    </xf>
    <xf numFmtId="0" fontId="7" fillId="0" borderId="1" applyAlignment="1" pivotButton="0" quotePrefix="0" xfId="0">
      <alignment horizontal="left" vertical="center"/>
    </xf>
    <xf numFmtId="0" fontId="8" fillId="0" borderId="1" applyAlignment="1" pivotButton="0" quotePrefix="0" xfId="0">
      <alignment horizontal="left" vertical="center"/>
    </xf>
    <xf numFmtId="0" fontId="0" fillId="0" borderId="1" pivotButton="0" quotePrefix="0" xfId="0"/>
    <xf numFmtId="164" fontId="7" fillId="0" borderId="1" applyAlignment="1" pivotButton="0" quotePrefix="0" xfId="0">
      <alignment horizontal="left" vertical="center"/>
    </xf>
    <xf numFmtId="0" fontId="9" fillId="4" borderId="2" applyAlignment="1" pivotButton="0" quotePrefix="0" xfId="0">
      <alignment horizontal="general" vertical="top" wrapText="1"/>
    </xf>
    <xf numFmtId="0" fontId="0" fillId="0" borderId="7" pivotButton="0" quotePrefix="0" xfId="0"/>
    <xf numFmtId="0" fontId="0" fillId="0" borderId="8" pivotButton="0" quotePrefix="0" xfId="0"/>
    <xf numFmtId="0" fontId="10" fillId="2" borderId="3" applyAlignment="1" pivotButton="0" quotePrefix="0" xfId="0">
      <alignment horizontal="center" vertical="center" wrapText="1"/>
    </xf>
    <xf numFmtId="0" fontId="11" fillId="5" borderId="3" applyAlignment="1" pivotButton="0" quotePrefix="0" xfId="0">
      <alignment horizontal="left" vertical="center" wrapText="1"/>
    </xf>
    <xf numFmtId="0" fontId="12" fillId="5" borderId="4" applyAlignment="1" pivotButton="0" quotePrefix="0" xfId="0">
      <alignment horizontal="general" vertical="bottom" wrapText="1"/>
    </xf>
    <xf numFmtId="0" fontId="13" fillId="5" borderId="4" applyAlignment="1" pivotButton="0" quotePrefix="0" xfId="0">
      <alignment horizontal="general" vertical="bottom" wrapText="1"/>
    </xf>
    <xf numFmtId="0" fontId="14" fillId="5" borderId="3" applyAlignment="1" pivotButton="0" quotePrefix="0" xfId="0">
      <alignment horizontal="left" vertical="center" wrapText="1"/>
    </xf>
    <xf numFmtId="0" fontId="11" fillId="6" borderId="3" applyAlignment="1" pivotButton="0" quotePrefix="0" xfId="0">
      <alignment horizontal="left" vertical="center" wrapText="1"/>
    </xf>
    <xf numFmtId="0" fontId="15" fillId="6" borderId="3" applyAlignment="1" pivotButton="0" quotePrefix="0" xfId="0">
      <alignment horizontal="left" vertical="center" wrapText="1"/>
    </xf>
    <xf numFmtId="0" fontId="16" fillId="6" borderId="3" applyAlignment="1" pivotButton="0" quotePrefix="0" xfId="0">
      <alignment horizontal="left" vertical="center" wrapText="1"/>
    </xf>
    <xf numFmtId="0" fontId="14" fillId="6" borderId="3" applyAlignment="1" pivotButton="0" quotePrefix="0" xfId="0">
      <alignment horizontal="left" vertical="center" wrapText="1"/>
    </xf>
    <xf numFmtId="0" fontId="17" fillId="5" borderId="4" applyAlignment="1" pivotButton="0" quotePrefix="0" xfId="0">
      <alignment horizontal="left" vertical="top" wrapText="1"/>
    </xf>
    <xf numFmtId="0" fontId="15" fillId="5" borderId="3" applyAlignment="1" pivotButton="0" quotePrefix="0" xfId="0">
      <alignment horizontal="left" vertical="center" wrapText="1"/>
    </xf>
    <xf numFmtId="0" fontId="10" fillId="2" borderId="0" applyAlignment="1" pivotButton="0" quotePrefix="0" xfId="0">
      <alignment horizontal="left" vertical="center"/>
    </xf>
    <xf numFmtId="0" fontId="14" fillId="6" borderId="3" applyAlignment="1" pivotButton="0" quotePrefix="0" xfId="0">
      <alignment horizontal="general" vertical="top" wrapText="1"/>
    </xf>
    <xf numFmtId="0" fontId="0" fillId="0" borderId="11" pivotButton="0" quotePrefix="0" xfId="0"/>
    <xf numFmtId="0" fontId="0" fillId="0" borderId="12" pivotButton="0" quotePrefix="0" xfId="0"/>
    <xf numFmtId="0" fontId="15" fillId="6" borderId="3" applyAlignment="1" pivotButton="0" quotePrefix="0" xfId="0">
      <alignment horizontal="general" vertical="top" wrapText="1"/>
    </xf>
    <xf numFmtId="0" fontId="18" fillId="0" borderId="0" applyAlignment="1" pivotButton="0" quotePrefix="0" xfId="0">
      <alignment horizontal="left" vertical="center"/>
    </xf>
    <xf numFmtId="0" fontId="19" fillId="2" borderId="0" applyAlignment="1" pivotButton="0" quotePrefix="0" xfId="0">
      <alignment horizontal="left" vertical="center"/>
    </xf>
    <xf numFmtId="49" fontId="14" fillId="5" borderId="3" applyAlignment="1" pivotButton="0" quotePrefix="0" xfId="0">
      <alignment horizontal="left" vertical="center" wrapText="1"/>
    </xf>
    <xf numFmtId="0" fontId="20" fillId="0" borderId="0" applyAlignment="1" pivotButton="0" quotePrefix="0" xfId="0">
      <alignment horizontal="general" vertical="bottom" wrapText="1"/>
    </xf>
    <xf numFmtId="49" fontId="14" fillId="6" borderId="3" applyAlignment="1" pivotButton="0" quotePrefix="0" xfId="0">
      <alignment horizontal="left" vertical="center" wrapText="1"/>
    </xf>
    <xf numFmtId="0" fontId="21" fillId="6" borderId="3" applyAlignment="1" pivotButton="0" quotePrefix="0" xfId="0">
      <alignment horizontal="left" vertical="center" wrapText="1"/>
    </xf>
    <xf numFmtId="0" fontId="0" fillId="6" borderId="3" applyAlignment="1" pivotButton="0" quotePrefix="0" xfId="0">
      <alignment horizontal="left" vertical="center" wrapText="1"/>
    </xf>
    <xf numFmtId="49" fontId="0" fillId="6" borderId="3" applyAlignment="1" pivotButton="0" quotePrefix="0" xfId="0">
      <alignment horizontal="left" vertical="center" wrapText="1"/>
    </xf>
    <xf numFmtId="0" fontId="0" fillId="0" borderId="0" applyAlignment="1" pivotButton="0" quotePrefix="0" xfId="0">
      <alignment horizontal="general" vertical="center" wrapText="1"/>
    </xf>
    <xf numFmtId="0" fontId="0" fillId="5" borderId="3" applyAlignment="1" pivotButton="0" quotePrefix="0" xfId="0">
      <alignment horizontal="left" vertical="center" wrapText="1"/>
    </xf>
    <xf numFmtId="0" fontId="22" fillId="2" borderId="0" applyAlignment="1" pivotButton="0" quotePrefix="0" xfId="0">
      <alignment horizontal="left" vertical="center"/>
    </xf>
    <xf numFmtId="0" fontId="23" fillId="0" borderId="0" applyAlignment="1" pivotButton="0" quotePrefix="0" xfId="0">
      <alignment horizontal="left" vertical="center"/>
    </xf>
    <xf numFmtId="0" fontId="10" fillId="7" borderId="0" applyAlignment="1" pivotButton="0" quotePrefix="0" xfId="0">
      <alignment horizontal="center" vertical="center"/>
    </xf>
    <xf numFmtId="0" fontId="24" fillId="0" borderId="0" applyAlignment="1" pivotButton="0" quotePrefix="0" xfId="0">
      <alignment horizontal="left" vertical="center"/>
    </xf>
    <xf numFmtId="0" fontId="10" fillId="8" borderId="0" applyAlignment="1" pivotButton="0" quotePrefix="0" xfId="0">
      <alignment horizontal="center" vertical="center"/>
    </xf>
    <xf numFmtId="0" fontId="10" fillId="9" borderId="0" applyAlignment="1" pivotButton="0" quotePrefix="0" xfId="0">
      <alignment horizontal="center" vertical="center"/>
    </xf>
    <xf numFmtId="164" fontId="11" fillId="5" borderId="3" applyAlignment="1" pivotButton="0" quotePrefix="0" xfId="0">
      <alignment horizontal="left" vertical="center" wrapText="1"/>
    </xf>
    <xf numFmtId="0" fontId="6" fillId="0" borderId="0" applyAlignment="1" pivotButton="0" quotePrefix="0" xfId="0">
      <alignment horizontal="general" vertical="bottom"/>
    </xf>
    <xf numFmtId="0" fontId="25" fillId="7" borderId="0" applyAlignment="1" pivotButton="0" quotePrefix="0" xfId="0">
      <alignment horizontal="center" vertical="center"/>
    </xf>
    <xf numFmtId="0" fontId="25" fillId="8" borderId="0" applyAlignment="1" pivotButton="0" quotePrefix="0" xfId="0">
      <alignment horizontal="center" vertical="center"/>
    </xf>
    <xf numFmtId="0" fontId="25" fillId="9" borderId="0" applyAlignment="1" pivotButton="0" quotePrefix="0" xfId="0">
      <alignment horizontal="center" vertical="center"/>
    </xf>
    <xf numFmtId="0" fontId="26" fillId="0" borderId="0"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ont>
        <name val="Arial"/>
        <charset val="1"/>
        <family val="0"/>
        <b val="1"/>
        <color rgb="FFFFFFFF"/>
      </font>
      <fill>
        <patternFill>
          <bgColor rgb="FF2E7D4F"/>
        </patternFill>
      </fill>
    </dxf>
    <dxf>
      <font>
        <name val="Arial"/>
        <charset val="1"/>
        <family val="0"/>
        <b val="1"/>
        <color rgb="FFFFFFFF"/>
      </font>
      <fill>
        <patternFill>
          <bgColor rgb="FFB8742A"/>
        </patternFill>
      </fill>
    </dxf>
    <dxf>
      <font>
        <name val="Arial"/>
        <charset val="1"/>
        <family val="0"/>
        <b val="1"/>
        <color rgb="FFFFFFFF"/>
      </font>
      <fill>
        <patternFill>
          <bgColor rgb="FF1F6F7A"/>
        </patternFill>
      </fill>
    </dxf>
    <dxf>
      <font>
        <name val="Arial"/>
        <charset val="1"/>
        <family val="0"/>
        <b val="1"/>
        <color rgb="FFFFFFFF"/>
      </font>
      <fill>
        <patternFill>
          <bgColor rgb="FFD9A227"/>
        </patternFill>
      </fill>
    </dxf>
    <dxf>
      <font>
        <name val="Arial"/>
        <charset val="1"/>
        <family val="0"/>
        <b val="1"/>
        <color rgb="FFFFFFFF"/>
      </font>
      <fill>
        <patternFill>
          <bgColor rgb="FFC0392B"/>
        </patternFill>
      </fill>
    </dxf>
  </dxfs>
  <colors>
    <indexedColors>
      <rgbColor rgb="FF000000"/>
      <rgbColor rgb="FFFFFFFF"/>
      <rgbColor rgb="FFD6006E"/>
      <rgbColor rgb="FF00FF00"/>
      <rgbColor rgb="FF0000FF"/>
      <rgbColor rgb="FFFFFF00"/>
      <rgbColor rgb="FFFF00FF"/>
      <rgbColor rgb="FF00FFFF"/>
      <rgbColor rgb="FF800000"/>
      <rgbColor rgb="FF008000"/>
      <rgbColor rgb="FF000080"/>
      <rgbColor rgb="FFB8742A"/>
      <rgbColor rgb="FF800080"/>
      <rgbColor rgb="FF1F6F7A"/>
      <rgbColor rgb="FFC3CDC1"/>
      <rgbColor rgb="FF808080"/>
      <rgbColor rgb="FF9999FF"/>
      <rgbColor rgb="FF993366"/>
      <rgbColor rgb="FFF4F7F3"/>
      <rgbColor rgb="FFEFE9F2"/>
      <rgbColor rgb="FF660066"/>
      <rgbColor rgb="FFFF8080"/>
      <rgbColor rgb="FF0066CC"/>
      <rgbColor rgb="FFC9C9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BE3F0"/>
      <rgbColor rgb="FF3366FF"/>
      <rgbColor rgb="FF33CCCC"/>
      <rgbColor rgb="FF99CC00"/>
      <rgbColor rgb="FFFFCC00"/>
      <rgbColor rgb="FFD9A227"/>
      <rgbColor rgb="FFFF6600"/>
      <rgbColor rgb="FF566159"/>
      <rgbColor rgb="FF969696"/>
      <rgbColor rgb="FF003366"/>
      <rgbColor rgb="FF2E7D4F"/>
      <rgbColor rgb="FF1B2420"/>
      <rgbColor rgb="FF222222"/>
      <rgbColor rgb="FFC0392B"/>
      <rgbColor rgb="FF993366"/>
      <rgbColor rgb="FF333399"/>
      <rgbColor rgb="FF2E2A5D"/>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D6006E"/>
    <outlinePr summaryBelow="1" summaryRight="1"/>
    <pageSetUpPr fitToPage="0"/>
  </sheetPr>
  <dimension ref="A1:J24"/>
  <sheetViews>
    <sheetView showFormulas="0" showGridLines="0" showRowColHeaders="1" showZeros="1" rightToLeft="0" tabSelected="1" showOutlineSymbols="1" defaultGridColor="1" view="normal" topLeftCell="A1" colorId="64" zoomScale="100" zoomScaleNormal="100" zoomScalePageLayoutView="100" workbookViewId="0">
      <pane xSplit="0" ySplit="9" topLeftCell="A10" activePane="bottomLeft" state="frozen"/>
      <selection pane="topLeft" activeCell="A1" activeCellId="0" sqref="A1"/>
      <selection pane="bottomLeft" activeCell="J10" activeCellId="0" sqref="J10"/>
    </sheetView>
  </sheetViews>
  <sheetFormatPr baseColWidth="8" defaultColWidth="8.5703125" defaultRowHeight="14.25" zeroHeight="0" outlineLevelRow="0"/>
  <cols>
    <col width="18" customWidth="1" style="47" min="1" max="1"/>
    <col width="20" customWidth="1" style="47" min="2" max="2"/>
    <col width="26" customWidth="1" style="47" min="3" max="4"/>
    <col width="16" customWidth="1" style="47" min="5" max="5"/>
    <col width="20" customWidth="1" style="47" min="6" max="6"/>
    <col width="10" customWidth="1" style="47" min="7" max="7"/>
    <col width="26" customWidth="1" style="47" min="8" max="8"/>
    <col width="22" customWidth="1" style="47" min="9" max="10"/>
  </cols>
  <sheetData>
    <row r="1" ht="30" customHeight="1" s="48">
      <c r="A1" s="49" t="inlineStr">
        <is>
          <t>Weekly Planner - To be submitted to Head of School prior to the start of each Half-Term</t>
        </is>
      </c>
    </row>
    <row r="2" ht="14.25" customHeight="1" s="48">
      <c r="A2" s="50" t="inlineStr">
        <is>
          <t>Progress Schools  ·  linked to the 2026/27 Schemes of Work</t>
        </is>
      </c>
    </row>
    <row r="3"/>
    <row r="4" ht="19.5" customHeight="1" s="48">
      <c r="A4" s="51" t="inlineStr">
        <is>
          <t>Pathway</t>
        </is>
      </c>
      <c r="B4" s="52" t="inlineStr">
        <is>
          <t>GROW</t>
        </is>
      </c>
      <c r="D4" s="47" t="n">
        <v>4</v>
      </c>
      <c r="F4" s="51" t="inlineStr">
        <is>
          <t>Week no.</t>
        </is>
      </c>
      <c r="G4" s="52" t="n">
        <v>4</v>
      </c>
    </row>
    <row r="5" ht="19.5" customHeight="1" s="48">
      <c r="A5" s="51" t="inlineStr">
        <is>
          <t>Term</t>
        </is>
      </c>
      <c r="B5" s="52" t="inlineStr">
        <is>
          <t>Autumn</t>
        </is>
      </c>
      <c r="F5" s="51" t="inlineStr">
        <is>
          <t>Group / class</t>
        </is>
      </c>
      <c r="G5" s="52" t="n"/>
    </row>
    <row r="6" ht="19.5" customHeight="1" s="48">
      <c r="A6" s="51" t="inlineStr">
        <is>
          <t>Theme</t>
        </is>
      </c>
      <c r="B6" s="53">
        <f>IF(B5="Autumn","Identity &amp; Belonging",IF(B5="Spring","Resilience &amp; Change",IF(B5="Summer","Our World, My Future","pick a term")))</f>
        <v/>
      </c>
      <c r="C6" s="54" t="n"/>
      <c r="D6" s="54" t="n"/>
      <c r="F6" s="51" t="inlineStr">
        <is>
          <t>Teacher</t>
        </is>
      </c>
      <c r="G6" s="52" t="n"/>
    </row>
    <row r="7" ht="19.5" customHeight="1" s="48">
      <c r="A7" s="51" t="inlineStr">
        <is>
          <t>Week commencing</t>
        </is>
      </c>
      <c r="B7" s="55" t="n">
        <v>46286</v>
      </c>
      <c r="F7" s="51" t="inlineStr">
        <is>
          <t>Reviewed by</t>
        </is>
      </c>
      <c r="G7" s="52" t="n"/>
    </row>
    <row r="8" ht="33.75" customHeight="1" s="48">
      <c r="A8" s="56" t="inlineStr">
        <is>
          <t>SMSC/BV this week: International Day of Peace (Mon 21 Sep) — whole-school reflection + calm tutor-time minute.  European Day of Languages Sat 26 Sep — language-taster starter Fri.  EVIDENCE: assembly print + evidence platform: community → log in the SMSC Evidence Tracker.</t>
        </is>
      </c>
      <c r="B8" s="57" t="n"/>
      <c r="C8" s="57" t="n"/>
      <c r="D8" s="57" t="n"/>
      <c r="E8" s="57" t="n"/>
      <c r="F8" s="57" t="n"/>
      <c r="G8" s="57" t="n"/>
      <c r="H8" s="57" t="n"/>
      <c r="I8" s="57" t="n"/>
      <c r="J8" s="58" t="n"/>
    </row>
    <row r="9" ht="30" customHeight="1" s="48">
      <c r="A9" s="59" t="inlineStr">
        <is>
          <t>Subject</t>
        </is>
      </c>
      <c r="B9" s="59" t="inlineStr">
        <is>
          <t>SoW unit (this term)</t>
        </is>
      </c>
      <c r="C9" s="59" t="inlineStr">
        <is>
          <t>This week's outcome</t>
        </is>
      </c>
      <c r="D9" s="59" t="inlineStr">
        <is>
          <t>Activities</t>
        </is>
      </c>
      <c r="E9" s="59" t="inlineStr">
        <is>
          <t>Key vocabulary</t>
        </is>
      </c>
      <c r="F9" s="59" t="inlineStr">
        <is>
          <t>Resources required</t>
        </is>
      </c>
      <c r="G9" s="59" t="inlineStr">
        <is>
          <t>Assess. (F/S)</t>
        </is>
      </c>
      <c r="H9" s="59" t="inlineStr">
        <is>
          <t>Student adaptations</t>
        </is>
      </c>
      <c r="I9" s="59" t="inlineStr">
        <is>
          <t>Classroom support</t>
        </is>
      </c>
      <c r="J9" s="59" t="inlineStr">
        <is>
          <t>Evaluation (after teaching)</t>
        </is>
      </c>
    </row>
    <row r="10" ht="330" customHeight="1" s="48">
      <c r="A10" s="60" t="inlineStr">
        <is>
          <t>English</t>
        </is>
      </c>
      <c r="B10" s="61" t="inlineStr">
        <is>
          <t>Identity in fiction &amp; life writing: descriptive paragraph about a character or myself.</t>
        </is>
      </c>
      <c r="C10" s="61" t="inlineStr">
        <is>
          <t>I can plan and write a short descriptive paragraph about a character or myself.</t>
        </is>
      </c>
      <c r="D10" s="61" t="inlineStr">
        <is>
          <t>Arrival task: describe a person in five words → collect identity/personality vocabulary → model a short paragraph → students plan with 3 details → write one paragraph → highlight best sentence.</t>
        </is>
      </c>
      <c r="E10" s="61" t="inlineStr">
        <is>
          <t>description, paragraph, identity, personality, detail, adjective, sentence</t>
        </is>
      </c>
      <c r="F10" s="62" t="inlineStr">
        <is>
          <t>Descriptive writing frame; identity vocabulary mat; model paragraph; character/self planning grid; laptops if needed.</t>
        </is>
      </c>
      <c r="G10" s="63" t="inlineStr">
        <is>
          <t>F</t>
        </is>
      </c>
      <c r="H10" s="62" t="inlineStr">
        <is>
          <t>Choice to write about fictional character or self; sentence frames; reduced writing target; typing/scribing; option to use bullet plan first.</t>
        </is>
      </c>
      <c r="I10" s="62" t="inlineStr">
        <is>
          <t>TA supports planning and first sentence. Teacher supports students to add one precise detail and collects writing sample for Step Up/FS evidence.
LOOP [Feedback Policy]: Voice = short margin edit / re-attempt [//, I/WS] → Audience: read the edit and name the change before adding [R]; one next step [NS] → EVIDENCE: coded book edit; clips for oracy [E: literacy] — live; deferred response only for extended writing.</t>
        </is>
      </c>
      <c r="J10" s="62" t="inlineStr">
        <is>
          <t>To complete after teaching: record paragraph quality, sentence accuracy and students needing additional writing frames.  → Influence: shapes the next scaffold and the half-termly plan; SPaG routes to spelling intervention, not margin marking [NS].</t>
        </is>
      </c>
    </row>
    <row r="11" ht="330" customHeight="1" s="48">
      <c r="A11" s="64" t="inlineStr">
        <is>
          <t>Maths</t>
        </is>
      </c>
      <c r="B11" s="65" t="inlineStr">
        <is>
          <t xml:space="preserve">
Place value &amp; the four operations </t>
        </is>
      </c>
      <c r="C11" s="66" t="inlineStr">
        <is>
          <t>I can multiply and divide numbers and choose the correct operation to solve a problem.</t>
        </is>
      </c>
      <c r="D11" s="65" t="inlineStr">
        <is>
          <t>Practise multiplication and division using written and mental methods.
Use multiplication facts and times tables to solve calculations.
Apply short multiplication and division methods where appropriate.
Solve real-life problems involving money, measures and quantities.
Identify key words and information to decide whether multiplication or division is needed.
Compare different strategies and explain why a particular operation is appropriate.
Complete fluency, reasoning and problem-solving tasks involving multiplication and division.
Operation stations with real scenarios — timber cut-lists (construction), catering portions, wages per hour: physically sort each card to the × or ÷ station, then solve on mini-whiteboards (live show-me).</t>
        </is>
      </c>
      <c r="E11" s="65" t="inlineStr">
        <is>
          <t>Multiply
Multiplication
Divide
Division
Product
Quotient
Grouping
Sharing
Times
Lots of
Equal groups
Factor
Multiple
Calculation
Operation
Method
Problem-solving
Estimate</t>
        </is>
      </c>
      <c r="F11" s="65" t="inlineStr">
        <is>
          <t>Multiplication grids and times tables charts
Whiteboards and pens
Calculators (for checking)
Place value counters
Number lines
Scenario prop cards (timber lengths, catering portions, wages)
Word problem cards
Interactive whiteboard resources
Vocabulary mats
Real-life scenario cards</t>
        </is>
      </c>
      <c r="G11" s="67" t="inlineStr">
        <is>
          <t>F</t>
        </is>
      </c>
      <c r="H11" s="65" t="inlineStr">
        <is>
          <t>Use concrete resources such as counters and arrays to model multiplication and division.
Provide multiplication grids and visual supports.
Break calculations into smaller, manageable steps.
Highlight key words in word problems to support operation choice.
Use worked examples and calculation prompts.
Offer guided practice and additional adult support where needed.
Extend learning through multi-step calculations and reasoning challenges.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is>
      </c>
      <c r="I11" s="65" t="inlineStr">
        <is>
          <t>Teacher modelling of multiplication and division strategies.
Guided group work to reinforce skills and address misconceptions.
Regular reinforcement of mathematical vocabulary.
Visual aids and practical resources available throughout lessons.
Targeted questioning to develop reasoning and operation selection skills.
Ongoing assessment through observation, discussion and marked work.
Positive feedback and opportunities for peer support and collaborative learning.
LOOP [Feedback Policy]: Voice = mini-whiteboard show-me / re-do, verbal reply [VF, I] → Audience: name the corrected step back and tick the success criteria; [R] on an accurate re-do → EVIDENCE: photo of the practical proof + book note, same day [E: numeracy/vocational — daily evidence platform].</t>
        </is>
      </c>
      <c r="J11" s="67" t="inlineStr">
        <is>
          <t>Influence: next task adapted; who needs the method re-modelled shapes grouping and the half-termly plan [NS].</t>
        </is>
      </c>
    </row>
    <row r="12" ht="339.75" customHeight="1" s="48">
      <c r="A12" s="60" t="inlineStr">
        <is>
          <t>Science</t>
        </is>
      </c>
      <c r="B12" s="63" t="inlineStr">
        <is>
          <t>White Rose Science Year 5/6 - Aut1·W4</t>
        </is>
      </c>
      <c r="C12" s="68" t="inlineStr">
        <is>
          <t>I can explain how a mechanism lets a smaller force do a bigger job.</t>
        </is>
      </c>
      <c r="D12" s="69" t="inlineStr">
        <is>
          <t>v5 whiteboard deck 'Levers, Pulleys and Gears': Find the pivot; Move it and feel the difference; Say what it costs. Runs across BOTH weekly 40-min periods: Period 1 → up to We Do 2; Period 2 = extended Independent Work → Lundy → Exit, where the practical and the Assessor Witness evidence are made. One print pack covers both periods.</t>
        </is>
      </c>
      <c r="E12" s="69" t="inlineStr">
        <is>
          <t>mechanism, lever, pivot, pulley, gear</t>
        </is>
      </c>
      <c r="F12" s="69" t="inlineStr">
        <is>
          <t>Science_Teesside/Grow/SCI_G_W4_Mechanisms.html (3-tier print pack off the title slide)</t>
        </is>
      </c>
      <c r="G12" s="63" t="inlineStr">
        <is>
          <t>F</t>
        </is>
      </c>
      <c r="H12" s="69" t="inlineStr">
        <is>
          <t>Tiered 3 ways (Supported/Standard/Stretch) at arrival, independent work and exit. Forces work is noisy and physical - trolleys, ramps, dropped masses. Agree the noise signal before equipment comes out, and offer ear defenders without making it a conversation. A pupil may record data instead of running the trial and still be doing the science.</t>
        </is>
      </c>
      <c r="I12" s="69" t="inlineStr">
        <is>
          <t>TA manages water and towels — spills are a known flashpoint, plan for them. Teacher pre-weighs every lump so 'same mass' is never in dispute. LOOP [Feedback Policy]: Voice = fair-test plan / results table / labelled diagram / short written describe / verbal reply [VF, //, I/WS] → Audience: read the answer or diagram back and name one improvement; [R] once received → EVIDENCE: coded, redrafted book + results photo [E: science — banks ELC 8939 evidence].</t>
        </is>
      </c>
      <c r="J12" s="63" t="inlineStr">
        <is>
          <t>Note who connects shape → real objects unprompted.  → Influence: with W3 this is the second fair test — who is ready to plan one alone in W5? [NS]</t>
        </is>
      </c>
    </row>
    <row r="13" ht="330" customHeight="1" s="48">
      <c r="A13" s="64" t="inlineStr">
        <is>
          <t>PSHE / RSE</t>
        </is>
      </c>
      <c r="B13" s="67" t="inlineStr">
        <is>
          <t>Identity, rights &amp; British values (PSHE Association KS3 + ACT) · AQA UAS 'Rights &amp; responsibilities' · SoW Aut1·W4</t>
        </is>
      </c>
      <c r="C13" s="67" t="inlineStr">
        <is>
          <t>I can explain why we have laws and what happens when they are broken.</t>
        </is>
      </c>
      <c r="D13" s="67" t="inlineStr">
        <is>
          <t>'You be the judge': age-appropriate, anonymised scenario cards — pupils sit as a panel, agree a fair consequence, then compare with what the law actually says (instant reveal) → floor-line sort: rule / law / personal choice → ages-of-legal-responsibility quiz with mini-whiteboard show-me.  EVIDENCE: photographed panel verdicts + quiz round (AQA UAS).  GCSE STRETCH: why must the same law apply to everyone? — the rule of law as a British value.</t>
        </is>
      </c>
      <c r="E13" s="67" t="inlineStr">
        <is>
          <t>law, rule, consequence, court, fair, responsibility</t>
        </is>
      </c>
      <c r="F13" s="67" t="inlineStr">
        <is>
          <t>Scenario cards; rule/law/choice floor line; legal-ages quiz + reveal cards; mini-whiteboards; camera.</t>
        </is>
      </c>
      <c r="G13" s="67" t="inlineStr">
        <is>
          <t>F</t>
        </is>
      </c>
      <c r="H13" s="67" t="inlineStr">
        <is>
          <t>Panel decisions are group ones — no individual on the spot; scenarios stay third-person and depersonalised.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is>
      </c>
      <c r="I13" s="67" t="inlineStr">
        <is>
          <t>TA joins the panel to model reasoning aloud; teacher gives the 'what the law says' reveal with live feedback each round; photos are the evidence.
LOOP [Feedback Policy]: Voice = campaign video / freeze-frame / card + verbal reply [VF] → Audience: name the strength back + one [NS]; listen to clips fully before tagging, then [R] → EVIDENCE: video/card photo to evidence platform, same day [E: PfA/citizenship/social enterprise — daily evidence platform].</t>
        </is>
      </c>
      <c r="J13" s="67" t="inlineStr">
        <is>
          <t>Influence: the W7 pitch shapes the W8 real action; outcomes feed APDR and the citizenship ladder [NS].</t>
        </is>
      </c>
    </row>
    <row r="14" ht="330" customHeight="1" s="48">
      <c r="A14" s="60" t="inlineStr">
        <is>
          <t>RE</t>
        </is>
      </c>
      <c r="B14" s="63" t="inlineStr">
        <is>
          <t>Belief, festivals &amp; belonging (Geography, Kapow + RE)</t>
        </is>
      </c>
      <c r="C14" s="68" t="inlineStr">
        <is>
          <t>I can explain the meaning of Hanukkah and understand why light is an important symbol in Judaism.</t>
        </is>
      </c>
      <c r="D14" s="69" t="inlineStr">
        <is>
          <t>Arrival: a hanukkiah with 8 branches — why 8? Take guesses → the story of the oil that lasted eight days, told with the real (or model) hanukkiah → hands-on: play dreidel for chocolate coins (the letters teach the story), build a paper hanukkiah, latke tasting if possible → each pupil voice-notes 'why light matters in Hanukkah' over a photo of their game or make.  EVIDENCE: photos + voice notes (AQA UAS).  GCSE STRETCH: compare one Hanukkah symbol with one Diwali symbol from last week.</t>
        </is>
      </c>
      <c r="E14" s="69" t="inlineStr">
        <is>
          <t>Hanukkah
Judaism
Festival
Menorah
Light
Miracle
Oil
Temple
Tradition
Celebration
Jewish
Prayer
Faith
Hope
Perseverance
Worship
Community</t>
        </is>
      </c>
      <c r="F14" s="69" t="inlineStr">
        <is>
          <t>Hanukkiah (or model); dreidels + chocolate coins; paper-craft materials; latke tasting if food-safe; camera/voice recorder.</t>
        </is>
      </c>
      <c r="G14" s="63" t="inlineStr">
        <is>
          <t>F</t>
        </is>
      </c>
      <c r="H14" s="69" t="inlineStr">
        <is>
          <t>Game-led — the dreidel rules carry the learning; tasting is optional with alternatives.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is>
      </c>
      <c r="I14" s="69" t="inlineStr">
        <is>
          <t>TA referees dreidel and records voice notes; teacher links every activity back to the story; live feedback at the games table.
LOOP [Feedback Policy]: Voice = defended bid / make + spoken reason / W5 paragraph [VF, //] → Audience: name the comparison back; for the W5 write, one [NS] then response time; [R] after received → EVIDENCE: photo of make/web + W5 paragraph in book [E: RE/enrichment] — W5 deferred.</t>
        </is>
      </c>
      <c r="J14" s="63" t="inlineStr">
        <is>
          <t>Influence: who compares vs describes shapes next week's stem and the half-termly plan [NS].</t>
        </is>
      </c>
    </row>
    <row r="15" ht="330" customHeight="1" s="48">
      <c r="A15" s="64" t="inlineStr">
        <is>
          <t>Humanities</t>
        </is>
      </c>
      <c r="B15" s="63" t="inlineStr">
        <is>
          <t>Kapow History — diverse British history (Black History Month). Links English (Coming to England) and Art (BHM artist inspiration).</t>
        </is>
      </c>
      <c r="C15" s="68" t="inlineStr">
        <is>
          <t>I can describe one person from Black British history and say why they are important.</t>
        </is>
      </c>
      <c r="D15" s="69" t="inlineStr">
        <is>
          <t>Arrival task: 'who could this be?' — one picture-clue reveal → model a mini-profile (who / what they did / why it matters) with pictures → we do: build one profile together → you do: choose a person from a picture-supported BHM menu and complete a profile card → exit: '…is important because…' stem; add the card to a class 'People Who Shaped Britain' wall.</t>
        </is>
      </c>
      <c r="E15" s="69" t="inlineStr">
        <is>
          <t>identity, contribution, important, diversity, community, Black History Month, belonging, change, respect</t>
        </is>
      </c>
      <c r="F15" s="69" t="inlineStr">
        <is>
          <t>Picture-clue cards; picture-supported BHM figure menu (incl. local Teesside figures where possible); profile-card frame; class display wall; magenta copies; shared with English/Art.</t>
        </is>
      </c>
      <c r="G15" s="63" t="inlineStr">
        <is>
          <t>F</t>
        </is>
      </c>
      <c r="H15" s="69" t="inlineStr">
        <is>
          <t>Curated picture menu (choice + no open searching); profile card is short and structured (who/what/why). Verbal profile accepted and scribed; word/picture bank; celebrate on the wall (no ranking).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is>
      </c>
      <c r="I15" s="69" t="inlineStr">
        <is>
          <t>TA models one profile box; teacher keeps 'who / what / why' visible; deliberately choose a figure the Art lesson can use for inspiration this week.
LOOP [Feedback Policy]: Voice = source verdict / timeline placement / short account [//, I] → Audience: read against the success criteria and name the change; [R] after received → EVIDENCE: coded book + enquiry photos [E: humanities] — deferred for the written account.</t>
        </is>
      </c>
      <c r="J15" s="63" t="inlineStr">
        <is>
          <t>Note who explains importance vs who only lists facts.  → Influence: the source-use skill shapes the next enquiry's scaffold [NS].</t>
        </is>
      </c>
    </row>
    <row r="16" ht="330" customHeight="1" s="48">
      <c r="A16" s="60" t="inlineStr">
        <is>
          <t>Arts (Arts Award)</t>
        </is>
      </c>
      <c r="B16" s="63" t="inlineStr">
        <is>
          <t>Trinity Arts Award Explore — create the identity piece (BHM artist inspiration). Links History BHM figure.</t>
        </is>
      </c>
      <c r="C16" s="68" t="inlineStr">
        <is>
          <t>I can create my identity artwork using ideas from an artist who inspires me.</t>
        </is>
      </c>
      <c r="D16" s="69" t="inlineStr">
        <is>
          <t>Arrival task: look at one BHM artist's work — one word that stands out → model borrowing one idea (a colour, a shape, a technique) → we do: try that technique together on scrap → you do: create your identity piece using your Week 3 plan and one borrowed idea → exit: point to the part you're most proud of.</t>
        </is>
      </c>
      <c r="E16" s="69" t="inlineStr">
        <is>
          <t>identity, create, inspiration, artist, technique, colour, shape, medium, express</t>
        </is>
      </c>
      <c r="F16" s="69" t="inlineStr">
        <is>
          <t>BHM artist examples (shared with History); the Week 3 plan; art materials incl. light-art media; scrap for trials; camera for evidence; calm workspace; magenta prompt sheet.</t>
        </is>
      </c>
      <c r="G16" s="63" t="inlineStr">
        <is>
          <t>F</t>
        </is>
      </c>
      <c r="H16" s="69" t="inlineStr">
        <is>
          <t>Practical and choice-led; trial on scrap first removes fear of 'getting it wrong'. Any medium accepted; effort celebrated over outcome (no ranking); calm space and time. Banks Arts Award Explore evidence — photograph the piece.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is>
      </c>
      <c r="I16" s="69" t="inlineStr">
        <is>
          <t>TA supports technique and scribes the log; teacher models borrowing one idea (not copying); photograph work for the portfolio; link openly to the History BHM figure.
LOOP [Feedback Policy]: Voice = make + arts-log photo + comment [VF] → Audience: listen fully before tagging, one next technique [NS]; then [R] → EVIDENCE: Arts Award Explore log = the accreditation evidence, same day [E: Arts Award].</t>
        </is>
      </c>
      <c r="J16" s="63" t="inlineStr">
        <is>
          <t>Note who applies an idea from the artist vs who works unlinked; check dated photo evidence.  → Influence: the log builds toward Explore → Bronze/GCSE ladder; calibrated at moderation [NS].</t>
        </is>
      </c>
    </row>
    <row r="17" ht="45.75" customHeight="1" s="48">
      <c r="A17" s="64" t="inlineStr">
        <is>
          <t>PE</t>
        </is>
      </c>
      <c r="B17" s="67" t="n"/>
      <c r="C17" s="67" t="n"/>
      <c r="D17" s="67" t="n"/>
      <c r="E17" s="67" t="n"/>
      <c r="F17" s="67" t="n"/>
      <c r="G17" s="67" t="n"/>
      <c r="H17" s="67" t="n"/>
      <c r="I17" s="67" t="n"/>
      <c r="J17" s="67" t="n"/>
    </row>
    <row r="18" ht="45.75" customHeight="1" s="48">
      <c r="A18" s="60" t="inlineStr">
        <is>
          <t>Careers / Vocational (ASDAN)</t>
        </is>
      </c>
      <c r="B18" s="63" t="n"/>
      <c r="C18" s="63" t="n"/>
      <c r="D18" s="63" t="n"/>
      <c r="E18" s="63" t="n"/>
      <c r="F18" s="63" t="n"/>
      <c r="G18" s="63" t="n"/>
      <c r="H18" s="63" t="n"/>
      <c r="I18" s="63" t="n"/>
      <c r="J18" s="63" t="n"/>
    </row>
    <row r="20" ht="18" customHeight="1" s="48">
      <c r="A20" s="70" t="inlineStr">
        <is>
          <t>Enrichment &amp; wider opportunities this week   (trips, visitors, themed days, SMSC calendar link, PfA / community)</t>
        </is>
      </c>
    </row>
    <row r="21" ht="117.75" customHeight="1" s="48">
      <c r="A21" s="71" t="inlineStr">
        <is>
          <t>Mon: International Day of Peace assembly — belonging &amp; getting along.  Fri (26 Sep): European Day of Languages — celebrate different languages (tutor time).  Whole-school theme assembly: Identity &amp; Belonging.  PfA / community: a local walk — outdoor regulation, community access and a relaxed chance to talk.</t>
        </is>
      </c>
      <c r="B21" s="72" t="n"/>
      <c r="C21" s="72" t="n"/>
      <c r="D21" s="72" t="n"/>
      <c r="E21" s="72" t="n"/>
      <c r="F21" s="72" t="n"/>
      <c r="G21" s="72" t="n"/>
      <c r="H21" s="72" t="n"/>
      <c r="I21" s="72" t="n"/>
      <c r="J21" s="73" t="n"/>
    </row>
    <row r="22" ht="18" customHeight="1" s="48">
      <c r="A22" s="70" t="inlineStr">
        <is>
          <t>Resources &amp; support to prepare before the week   (printing, kit, bookings, briefing the team)</t>
        </is>
      </c>
    </row>
    <row r="23" ht="141.75" customHeight="1" s="48">
      <c r="A23" s="74" t="inlineStr">
        <is>
          <t>Print: cells picture-label &amp; 'describe a cell' cards, people-bingo &amp; belonging-statement cards, migration event cards + timeline, Arts Award Explore log pages.  Kit: load Cells HTML; playdough / junk (+ optional jelly &amp; sweets — CHECK ALLERGIES &amp; food hygiene) for build-a-cell; giant cell outline &amp; part cards; clay / print &amp; mixed media for Art stations; magnifying glasses.  Brief TA on Pupil A (soft start, take-up time, sharing opt-out).  Confirm any RSHE parental agreement on file if used.</t>
        </is>
      </c>
      <c r="B23" s="72" t="n"/>
      <c r="C23" s="72" t="n"/>
      <c r="D23" s="72" t="n"/>
      <c r="E23" s="72" t="n"/>
      <c r="F23" s="72" t="n"/>
      <c r="G23" s="72" t="n"/>
      <c r="H23" s="72" t="n"/>
      <c r="I23" s="72" t="n"/>
      <c r="J23" s="73" t="n"/>
    </row>
    <row r="24" ht="14.25" customHeight="1" s="48">
      <c r="A24" s="75" t="inlineStr">
        <is>
          <t xml:space="preserve">F = formative  ·  S = summative  ·  PfA = Preparing for Adulthood  </t>
        </is>
      </c>
    </row>
  </sheetData>
  <mergeCells count="9">
    <mergeCell ref="A1:J1"/>
    <mergeCell ref="A23:J23"/>
    <mergeCell ref="A8:J8"/>
    <mergeCell ref="A22:J22"/>
    <mergeCell ref="A21:J21"/>
    <mergeCell ref="A20:J20"/>
    <mergeCell ref="A24:J24"/>
    <mergeCell ref="A2:J2"/>
    <mergeCell ref="B6:D6"/>
  </mergeCells>
  <dataValidations count="4">
    <dataValidation sqref="B4" showDropDown="0" showInputMessage="0" showErrorMessage="0" allowBlank="1" errorTitle="Choose from the list" error="Pick a value from the list." type="list" errorStyle="stop" operator="between">
      <formula1>"BUILD,GROW,LAUNCH"</formula1>
      <formula2>0</formula2>
    </dataValidation>
    <dataValidation sqref="B5" showDropDown="0" showInputMessage="0" showErrorMessage="0" allowBlank="1" errorTitle="Choose from the list" error="Pick a value from the list." type="list" errorStyle="stop" operator="between">
      <formula1>"Autumn,Spring,Summer"</formula1>
      <formula2>0</formula2>
    </dataValidation>
    <dataValidation sqref="A10:A18" showDropDown="0" showInputMessage="0" showErrorMessage="0" allowBlank="1" errorTitle="Choose from the list" error="Pick a value from the list." type="list" errorStyle="stop" operator="between">
      <formula1>"English,Maths,Science,PSHE / RSE,RE,Humanities,Arts (Arts Award),PE,Careers / Vocational (ASDAN),Computing / Digital,Personal Development / PfA"</formula1>
      <formula2>0</formula2>
    </dataValidation>
    <dataValidation sqref="G10:G18" showDropDown="0" showInputMessage="0" showErrorMessage="0" allowBlank="1" errorTitle="Choose from the list" error="Pick a value from the list." type="list" errorStyle="stop" operator="between">
      <formula1>"F,S,F + 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D6006E"/>
    <outlinePr summaryBelow="1" summaryRight="1"/>
    <pageSetUpPr fitToPage="0"/>
  </sheetPr>
  <dimension ref="A1:I19"/>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8" activeCellId="0" sqref="A8"/>
    </sheetView>
  </sheetViews>
  <sheetFormatPr baseColWidth="8" defaultColWidth="8.5703125" defaultRowHeight="14.25" zeroHeight="0" outlineLevelRow="0"/>
  <cols>
    <col width="16" customWidth="1" style="47" min="1" max="1"/>
    <col width="11" customWidth="1" style="47" min="2" max="2"/>
    <col width="10" customWidth="1" style="47" min="3" max="3"/>
    <col width="15" customWidth="1" style="47" min="4" max="4"/>
    <col width="26" customWidth="1" style="47" min="5" max="5"/>
    <col width="28" customWidth="1" style="47" min="6" max="7"/>
    <col width="18" customWidth="1" style="47" min="8" max="8"/>
    <col width="22" customWidth="1" style="47" min="9" max="9"/>
  </cols>
  <sheetData>
    <row r="1" ht="25.5" customHeight="1" s="48">
      <c r="A1" s="76" t="inlineStr">
        <is>
          <t>Student Adaptations</t>
        </is>
      </c>
    </row>
    <row r="2" ht="14.25" customHeight="1" s="48">
      <c r="A2" s="50" t="n"/>
    </row>
    <row r="4" ht="27.75" customHeight="1" s="48">
      <c r="A4" s="59" t="inlineStr">
        <is>
          <t>Name</t>
        </is>
      </c>
      <c r="B4" s="59" t="inlineStr">
        <is>
          <t>Pathway</t>
        </is>
      </c>
      <c r="C4" s="59" t="inlineStr">
        <is>
          <t>Year / KS</t>
        </is>
      </c>
      <c r="D4" s="59" t="inlineStr">
        <is>
          <t>Reading age band</t>
        </is>
      </c>
      <c r="E4" s="59" t="inlineStr">
        <is>
          <t>Communication / sensory needs</t>
        </is>
      </c>
      <c r="F4" s="59" t="inlineStr">
        <is>
          <t>Key scaffolds &amp; adaptations</t>
        </is>
      </c>
      <c r="G4" s="59" t="inlineStr">
        <is>
          <t>EHCP primary outcomes</t>
        </is>
      </c>
      <c r="H4" s="59" t="inlineStr">
        <is>
          <t>PfA focus</t>
        </is>
      </c>
      <c r="I4" s="59" t="inlineStr">
        <is>
          <t>Notes</t>
        </is>
      </c>
    </row>
    <row r="5" ht="42" customHeight="1" s="48">
      <c r="A5" s="60" t="inlineStr">
        <is>
          <t>Pupil A</t>
        </is>
      </c>
      <c r="B5" s="63" t="inlineStr">
        <is>
          <t>GROW</t>
        </is>
      </c>
      <c r="C5" s="63" t="inlineStr">
        <is>
          <t>KS4</t>
        </is>
      </c>
      <c r="D5" s="77" t="n"/>
      <c r="E5" s="63" t="n"/>
      <c r="F5" s="78" t="n"/>
      <c r="G5" s="67" t="n"/>
      <c r="H5" s="63" t="n"/>
      <c r="I5" s="63" t="n"/>
    </row>
    <row r="6" ht="42" customHeight="1" s="48">
      <c r="A6" s="64" t="inlineStr">
        <is>
          <t>Pupil B</t>
        </is>
      </c>
      <c r="B6" s="63" t="inlineStr">
        <is>
          <t>GROW</t>
        </is>
      </c>
      <c r="C6" s="67" t="inlineStr">
        <is>
          <t>KS4</t>
        </is>
      </c>
      <c r="D6" s="79" t="n"/>
      <c r="E6" s="67" t="n"/>
      <c r="F6" s="67" t="n"/>
      <c r="G6" s="67" t="n"/>
      <c r="H6" s="67" t="n"/>
      <c r="I6" s="67" t="n"/>
    </row>
    <row r="7" ht="42" customHeight="1" s="48">
      <c r="A7" s="80" t="inlineStr">
        <is>
          <t>Pupil C</t>
        </is>
      </c>
      <c r="B7" s="81" t="inlineStr">
        <is>
          <t>GROW</t>
        </is>
      </c>
      <c r="C7" s="81" t="inlineStr">
        <is>
          <t>KS4</t>
        </is>
      </c>
      <c r="D7" s="82" t="n"/>
      <c r="E7" s="81" t="n"/>
      <c r="F7" s="81" t="n"/>
      <c r="G7" s="67" t="n"/>
      <c r="H7" s="81" t="n"/>
      <c r="I7" s="83" t="n"/>
    </row>
    <row r="8" ht="30" customHeight="1" s="48">
      <c r="A8" s="81" t="n"/>
      <c r="B8" s="81" t="n"/>
      <c r="C8" s="81" t="n"/>
      <c r="D8" s="81" t="n"/>
      <c r="E8" s="81" t="n"/>
      <c r="F8" s="81" t="n"/>
      <c r="G8" s="81" t="n"/>
      <c r="H8" s="81" t="n"/>
      <c r="I8" s="81" t="n"/>
    </row>
    <row r="9" ht="30" customHeight="1" s="48">
      <c r="A9" s="84" t="n"/>
      <c r="B9" s="84" t="n"/>
      <c r="C9" s="84" t="n"/>
      <c r="D9" s="84" t="n"/>
      <c r="E9" s="84" t="n"/>
      <c r="F9" s="84" t="n"/>
      <c r="G9" s="84" t="n"/>
      <c r="H9" s="84" t="n"/>
      <c r="I9" s="84" t="n"/>
    </row>
    <row r="10" ht="30" customHeight="1" s="48">
      <c r="A10" s="81" t="n"/>
      <c r="B10" s="81" t="n"/>
      <c r="C10" s="81" t="n"/>
      <c r="D10" s="81" t="n"/>
      <c r="E10" s="81" t="n"/>
      <c r="F10" s="81" t="n"/>
      <c r="G10" s="81" t="n"/>
      <c r="H10" s="81" t="n"/>
      <c r="I10" s="81" t="n"/>
    </row>
    <row r="11" ht="30" customHeight="1" s="48">
      <c r="A11" s="84" t="n"/>
      <c r="B11" s="84" t="n"/>
      <c r="C11" s="84" t="n"/>
      <c r="D11" s="84" t="n"/>
      <c r="E11" s="84" t="n"/>
      <c r="F11" s="84" t="n"/>
      <c r="G11" s="84" t="n"/>
      <c r="H11" s="84" t="n"/>
      <c r="I11" s="84" t="n"/>
    </row>
    <row r="12" ht="30" customHeight="1" s="48">
      <c r="A12" s="81" t="n"/>
      <c r="B12" s="81" t="n"/>
      <c r="C12" s="81" t="n"/>
      <c r="D12" s="81" t="n"/>
      <c r="E12" s="81" t="n"/>
      <c r="F12" s="81" t="n"/>
      <c r="G12" s="81" t="n"/>
      <c r="H12" s="81" t="n"/>
      <c r="I12" s="81" t="n"/>
    </row>
    <row r="13" ht="30" customHeight="1" s="48">
      <c r="A13" s="84" t="n"/>
      <c r="B13" s="84" t="n"/>
      <c r="C13" s="84" t="n"/>
      <c r="D13" s="84" t="n"/>
      <c r="E13" s="84" t="n"/>
      <c r="F13" s="84" t="n"/>
      <c r="G13" s="84" t="n"/>
      <c r="H13" s="84" t="n"/>
      <c r="I13" s="84" t="n"/>
    </row>
    <row r="14" ht="30" customHeight="1" s="48">
      <c r="A14" s="81" t="n"/>
      <c r="B14" s="81" t="n"/>
      <c r="C14" s="81" t="n"/>
      <c r="D14" s="81" t="n"/>
      <c r="E14" s="81" t="n"/>
      <c r="F14" s="81" t="n"/>
      <c r="G14" s="81" t="n"/>
      <c r="H14" s="81" t="n"/>
      <c r="I14" s="81" t="n"/>
    </row>
    <row r="15" ht="30" customHeight="1" s="48">
      <c r="A15" s="84" t="n"/>
      <c r="B15" s="84" t="n"/>
      <c r="C15" s="84" t="n"/>
      <c r="D15" s="84" t="n"/>
      <c r="E15" s="84" t="n"/>
      <c r="F15" s="84" t="n"/>
      <c r="G15" s="84" t="n"/>
      <c r="H15" s="84" t="n"/>
      <c r="I15" s="84" t="n"/>
    </row>
    <row r="16" ht="30" customHeight="1" s="48">
      <c r="A16" s="81" t="n"/>
      <c r="B16" s="81" t="n"/>
      <c r="C16" s="81" t="n"/>
      <c r="D16" s="81" t="n"/>
      <c r="E16" s="81" t="n"/>
      <c r="F16" s="81" t="n"/>
      <c r="G16" s="81" t="n"/>
      <c r="H16" s="81" t="n"/>
      <c r="I16" s="81" t="n"/>
    </row>
    <row r="17" ht="30" customHeight="1" s="48">
      <c r="A17" s="84" t="n"/>
      <c r="B17" s="84" t="n"/>
      <c r="C17" s="84" t="n"/>
      <c r="D17" s="84" t="n"/>
      <c r="E17" s="84" t="n"/>
      <c r="F17" s="84" t="n"/>
      <c r="G17" s="84" t="n"/>
      <c r="H17" s="84" t="n"/>
      <c r="I17" s="84" t="n"/>
    </row>
    <row r="18" ht="30" customHeight="1" s="48">
      <c r="A18" s="81" t="n"/>
      <c r="B18" s="81" t="n"/>
      <c r="C18" s="81" t="n"/>
      <c r="D18" s="81" t="n"/>
      <c r="E18" s="81" t="n"/>
      <c r="F18" s="81" t="n"/>
      <c r="G18" s="81" t="n"/>
      <c r="H18" s="81" t="n"/>
      <c r="I18" s="81" t="n"/>
    </row>
    <row r="19" ht="30" customHeight="1" s="48">
      <c r="A19" s="84" t="n"/>
      <c r="B19" s="84" t="n"/>
      <c r="C19" s="84" t="n"/>
      <c r="D19" s="84" t="n"/>
      <c r="E19" s="84" t="n"/>
      <c r="F19" s="84" t="n"/>
      <c r="G19" s="84" t="n"/>
      <c r="H19" s="84" t="n"/>
      <c r="I19" s="84" t="n"/>
    </row>
  </sheetData>
  <mergeCells count="2">
    <mergeCell ref="A1:I1"/>
    <mergeCell ref="A2:I2"/>
  </mergeCells>
  <conditionalFormatting sqref="B5:B7">
    <cfRule type="cellIs" rank="0" priority="2" equalAverage="0" operator="equal" aboveAverage="0" dxfId="0" text="" percent="0" bottom="0">
      <formula>"BUILD"</formula>
    </cfRule>
    <cfRule type="cellIs" rank="0" priority="3" equalAverage="0" operator="equal" aboveAverage="0" dxfId="1" text="" percent="0" bottom="0">
      <formula>"GROW"</formula>
    </cfRule>
    <cfRule type="cellIs" rank="0" priority="4" equalAverage="0" operator="equal" aboveAverage="0" dxfId="2" text="" percent="0" bottom="0">
      <formula>"LAUNCH"</formula>
    </cfRule>
  </conditionalFormatting>
  <conditionalFormatting sqref="B8:B19">
    <cfRule type="cellIs" rank="0" priority="5" equalAverage="0" operator="equal" aboveAverage="0" dxfId="0" text="" percent="0" bottom="0">
      <formula>"BUILD"</formula>
    </cfRule>
    <cfRule type="cellIs" rank="0" priority="6" equalAverage="0" operator="equal" aboveAverage="0" dxfId="1" text="" percent="0" bottom="0">
      <formula>"GROW"</formula>
    </cfRule>
    <cfRule type="cellIs" rank="0" priority="7" equalAverage="0" operator="equal" aboveAverage="0" dxfId="2" text="" percent="0" bottom="0">
      <formula>"LAUNCH"</formula>
    </cfRule>
  </conditionalFormatting>
  <dataValidations count="1">
    <dataValidation sqref="B5:B19" showDropDown="0" showInputMessage="0" showErrorMessage="0" allowBlank="1" errorTitle="Choose from the list" error="Pick a value from the list." type="list" errorStyle="stop" operator="between">
      <formula1>"BUILD,GROW,LAUNCH"</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D6006E"/>
    <outlinePr summaryBelow="1" summaryRight="1"/>
    <pageSetUpPr fitToPage="0"/>
  </sheetPr>
  <dimension ref="A1:I24"/>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7" activeCellId="0" sqref="A7"/>
    </sheetView>
  </sheetViews>
  <sheetFormatPr baseColWidth="8" defaultColWidth="8.5703125" defaultRowHeight="14.25" zeroHeight="0" outlineLevelRow="0"/>
  <cols>
    <col width="12" customWidth="1" style="47" min="1" max="1"/>
    <col width="11" customWidth="1" style="47" min="2" max="2"/>
    <col width="16" customWidth="1" style="47" min="3" max="3"/>
    <col width="28" customWidth="1" style="47" min="4" max="4"/>
    <col width="24" customWidth="1" style="47" min="5" max="5"/>
    <col width="9" customWidth="1" style="47" min="6" max="6"/>
    <col width="24" customWidth="1" style="47" min="7" max="7"/>
    <col width="18" customWidth="1" style="47" min="8" max="8"/>
    <col width="26" customWidth="1" style="47" min="9" max="9"/>
  </cols>
  <sheetData>
    <row r="1" ht="25.5" customHeight="1" s="48">
      <c r="A1" s="85" t="inlineStr">
        <is>
          <t xml:space="preserve">Outcome Tracker </t>
        </is>
      </c>
    </row>
    <row r="2" ht="14.25" customHeight="1" s="48">
      <c r="A2" s="86" t="inlineStr">
        <is>
          <t xml:space="preserve">Did everyone make progress and meet the outcome? </t>
        </is>
      </c>
    </row>
    <row r="3" ht="18" customHeight="1" s="48">
      <c r="A3" s="87" t="inlineStr">
        <is>
          <t>GREEN</t>
        </is>
      </c>
      <c r="B3" s="88" t="inlineStr">
        <is>
          <t>All demonstrated progress &amp; achieved the outcome</t>
        </is>
      </c>
      <c r="D3" s="89" t="inlineStr">
        <is>
          <t>AMBER</t>
        </is>
      </c>
      <c r="E3" s="88" t="inlineStr">
        <is>
          <t>Partly met, revisit in class</t>
        </is>
      </c>
      <c r="G3" s="90" t="inlineStr">
        <is>
          <t>RED</t>
        </is>
      </c>
      <c r="H3" s="88" t="inlineStr">
        <is>
          <t>Not met, pick up through intervention</t>
        </is>
      </c>
    </row>
    <row r="4"/>
    <row r="5" ht="27.75" customHeight="1" s="48">
      <c r="A5" s="59" t="inlineStr">
        <is>
          <t>Week (w/c)</t>
        </is>
      </c>
      <c r="B5" s="59" t="inlineStr">
        <is>
          <t>Pathway</t>
        </is>
      </c>
      <c r="C5" s="59" t="inlineStr">
        <is>
          <t>Subject</t>
        </is>
      </c>
      <c r="D5" s="59" t="inlineStr">
        <is>
          <t>Outcome reviewed</t>
        </is>
      </c>
      <c r="E5" s="59" t="inlineStr">
        <is>
          <t>Marking / evidence</t>
        </is>
      </c>
      <c r="F5" s="59" t="inlineStr">
        <is>
          <t>RAG</t>
        </is>
      </c>
      <c r="G5" s="59" t="inlineStr">
        <is>
          <t>Students not yet secure</t>
        </is>
      </c>
      <c r="H5" s="59" t="inlineStr">
        <is>
          <t>Picked up via</t>
        </is>
      </c>
      <c r="I5" s="59" t="inlineStr">
        <is>
          <t>Action &amp; timescale</t>
        </is>
      </c>
    </row>
    <row r="6" ht="30" customHeight="1" s="48">
      <c r="A6" s="91" t="n">
        <v>46287</v>
      </c>
      <c r="B6" s="63" t="inlineStr">
        <is>
          <t>GROW</t>
        </is>
      </c>
      <c r="C6" s="81" t="inlineStr">
        <is>
          <t>English</t>
        </is>
      </c>
      <c r="D6" s="61" t="inlineStr">
        <is>
          <t>Students planned and wrote a short descriptive paragraph using at least one precise detail about identity/personality.</t>
        </is>
      </c>
      <c r="E6" s="81" t="n"/>
      <c r="F6" s="81" t="n"/>
      <c r="G6" s="81" t="n"/>
      <c r="H6" s="81" t="n"/>
      <c r="I6" s="81" t="n"/>
    </row>
    <row r="7" ht="30" customHeight="1" s="48">
      <c r="A7" s="91" t="n">
        <v>46286</v>
      </c>
      <c r="B7" s="63" t="inlineStr">
        <is>
          <t>GROW</t>
        </is>
      </c>
      <c r="C7" s="81" t="inlineStr">
        <is>
          <t>Maths</t>
        </is>
      </c>
      <c r="D7" s="66" t="inlineStr">
        <is>
          <t>I can multiply and divide numbers and choose the correct operation to solve a problem.</t>
        </is>
      </c>
      <c r="E7" s="81" t="n"/>
      <c r="F7" s="81" t="n"/>
      <c r="G7" s="81" t="n"/>
      <c r="H7" s="81" t="n"/>
      <c r="I7" s="81" t="n"/>
    </row>
    <row r="8" ht="30" customHeight="1" s="48">
      <c r="A8" s="91" t="n">
        <v>46286</v>
      </c>
      <c r="B8" s="63" t="inlineStr">
        <is>
          <t>GROW</t>
        </is>
      </c>
      <c r="C8" s="63" t="inlineStr">
        <is>
          <t>Science</t>
        </is>
      </c>
      <c r="D8" s="63" t="inlineStr">
        <is>
          <t>I can explain how a mechanism lets a smaller force do a bigger job.</t>
        </is>
      </c>
      <c r="E8" s="63" t="n"/>
      <c r="F8" s="63" t="n"/>
      <c r="G8" s="63" t="n"/>
      <c r="H8" s="63" t="n"/>
      <c r="I8" s="63" t="n"/>
    </row>
    <row r="9" ht="30" customHeight="1" s="48">
      <c r="A9" s="91" t="n">
        <v>46286</v>
      </c>
      <c r="B9" s="63" t="inlineStr">
        <is>
          <t>GROW</t>
        </is>
      </c>
      <c r="C9" s="63" t="inlineStr">
        <is>
          <t>PSHE / RSE</t>
        </is>
      </c>
      <c r="D9" s="63" t="inlineStr">
        <is>
          <t>I can explain why we have laws and what happens when they are broken.</t>
        </is>
      </c>
      <c r="E9" s="63" t="n"/>
      <c r="F9" s="63" t="n"/>
      <c r="G9" s="63" t="n"/>
      <c r="H9" s="63" t="n"/>
      <c r="I9" s="63" t="n"/>
    </row>
    <row r="10" ht="30" customHeight="1" s="48">
      <c r="A10" s="91" t="n">
        <v>46286</v>
      </c>
      <c r="B10" s="63" t="inlineStr">
        <is>
          <t>GROW</t>
        </is>
      </c>
      <c r="C10" s="63" t="inlineStr">
        <is>
          <t>Humanities</t>
        </is>
      </c>
      <c r="D10" s="63" t="inlineStr">
        <is>
          <t>I can describe one person from Black British history and say why they are important.</t>
        </is>
      </c>
      <c r="E10" s="63" t="n"/>
      <c r="F10" s="63" t="n"/>
      <c r="G10" s="63" t="n"/>
      <c r="H10" s="63" t="n"/>
      <c r="I10" s="63" t="n"/>
    </row>
    <row r="11" ht="30" customHeight="1" s="48">
      <c r="A11" s="91" t="n">
        <v>46286</v>
      </c>
      <c r="B11" s="63" t="inlineStr">
        <is>
          <t>GROW</t>
        </is>
      </c>
      <c r="C11" s="63" t="inlineStr">
        <is>
          <t>Arts (Arts Award)</t>
        </is>
      </c>
      <c r="D11" s="63" t="inlineStr">
        <is>
          <t>I can create my identity artwork using ideas from an artist who inspires me.</t>
        </is>
      </c>
      <c r="E11" s="63" t="n"/>
      <c r="F11" s="63" t="n"/>
      <c r="G11" s="63" t="n"/>
      <c r="H11" s="63" t="n"/>
      <c r="I11" s="63" t="n"/>
    </row>
    <row r="12" ht="30" customHeight="1" s="48">
      <c r="A12" s="91" t="n">
        <v>46286</v>
      </c>
      <c r="B12" s="63" t="inlineStr">
        <is>
          <t>GROW</t>
        </is>
      </c>
      <c r="C12" s="84" t="inlineStr">
        <is>
          <t>RE</t>
        </is>
      </c>
      <c r="D12" s="68" t="inlineStr">
        <is>
          <t>I can explain the meaning of Hanukkah and understand why light is an important symbol in Judaism.</t>
        </is>
      </c>
      <c r="E12" s="84" t="n"/>
      <c r="F12" s="84" t="n"/>
      <c r="G12" s="84" t="n"/>
      <c r="H12" s="84" t="n"/>
      <c r="I12" s="84" t="n"/>
    </row>
    <row r="13" ht="30" customHeight="1" s="48">
      <c r="A13" s="84" t="n"/>
      <c r="B13" s="84" t="n"/>
      <c r="C13" s="84" t="n"/>
      <c r="D13" s="84" t="n"/>
      <c r="E13" s="84" t="n"/>
      <c r="F13" s="84" t="n"/>
      <c r="G13" s="84" t="n"/>
      <c r="H13" s="84" t="n"/>
      <c r="I13" s="84" t="n"/>
    </row>
    <row r="14" ht="30" customHeight="1" s="48">
      <c r="A14" s="81" t="n"/>
      <c r="B14" s="81" t="n"/>
      <c r="C14" s="81" t="n"/>
      <c r="D14" s="81" t="n"/>
      <c r="E14" s="81" t="n"/>
      <c r="F14" s="81" t="n"/>
      <c r="G14" s="81" t="n"/>
      <c r="H14" s="81" t="n"/>
      <c r="I14" s="81" t="n"/>
    </row>
    <row r="15" ht="25.5" customHeight="1" s="48">
      <c r="A15" s="84" t="n"/>
      <c r="B15" s="84" t="n"/>
      <c r="C15" s="84" t="n"/>
      <c r="D15" s="84" t="n"/>
      <c r="E15" s="84" t="n"/>
      <c r="F15" s="84" t="n"/>
      <c r="G15" s="84" t="n"/>
      <c r="H15" s="84" t="n"/>
      <c r="I15" s="84" t="n"/>
    </row>
    <row r="16" ht="25.5" customHeight="1" s="48">
      <c r="A16" s="81" t="n"/>
      <c r="B16" s="81" t="n"/>
      <c r="C16" s="81" t="n"/>
      <c r="D16" s="81" t="n"/>
      <c r="E16" s="81" t="n"/>
      <c r="F16" s="81" t="n"/>
      <c r="G16" s="81" t="n"/>
      <c r="H16" s="81" t="n"/>
      <c r="I16" s="81" t="n"/>
    </row>
    <row r="17" ht="25.5" customHeight="1" s="48">
      <c r="A17" s="84" t="n"/>
      <c r="B17" s="84" t="n"/>
      <c r="C17" s="84" t="n"/>
      <c r="D17" s="84" t="n"/>
      <c r="E17" s="84" t="n"/>
      <c r="F17" s="84" t="n"/>
      <c r="G17" s="84" t="n"/>
      <c r="H17" s="84" t="n"/>
      <c r="I17" s="84" t="n"/>
    </row>
    <row r="18" ht="25.5" customHeight="1" s="48">
      <c r="A18" s="81" t="n"/>
      <c r="B18" s="81" t="n"/>
      <c r="C18" s="81" t="n"/>
      <c r="D18" s="81" t="n"/>
      <c r="E18" s="81" t="n"/>
      <c r="F18" s="81" t="n"/>
      <c r="G18" s="81" t="n"/>
      <c r="H18" s="81" t="n"/>
      <c r="I18" s="81" t="n"/>
    </row>
    <row r="19" ht="25.5" customHeight="1" s="48">
      <c r="A19" s="84" t="n"/>
      <c r="B19" s="84" t="n"/>
      <c r="C19" s="84" t="n"/>
      <c r="D19" s="84" t="n"/>
      <c r="E19" s="84" t="n"/>
      <c r="F19" s="84" t="n"/>
      <c r="G19" s="84" t="n"/>
      <c r="H19" s="84" t="n"/>
      <c r="I19" s="84" t="n"/>
    </row>
    <row r="20" ht="25.5" customHeight="1" s="48">
      <c r="A20" s="81" t="n"/>
      <c r="B20" s="81" t="n"/>
      <c r="C20" s="81" t="n"/>
      <c r="D20" s="81" t="n"/>
      <c r="E20" s="81" t="n"/>
      <c r="F20" s="81" t="n"/>
      <c r="G20" s="81" t="n"/>
      <c r="H20" s="81" t="n"/>
      <c r="I20" s="81" t="n"/>
    </row>
    <row r="21" ht="25.5" customHeight="1" s="48">
      <c r="A21" s="84" t="n"/>
      <c r="B21" s="84" t="n"/>
      <c r="C21" s="84" t="n"/>
      <c r="D21" s="84" t="n"/>
      <c r="E21" s="84" t="n"/>
      <c r="F21" s="84" t="n"/>
      <c r="G21" s="84" t="n"/>
      <c r="H21" s="84" t="n"/>
      <c r="I21" s="84" t="n"/>
    </row>
    <row r="22" ht="25.5" customHeight="1" s="48"/>
    <row r="23" ht="25.5" customHeight="1" s="48">
      <c r="C23" s="92" t="inlineStr">
        <is>
          <t>This sheet:</t>
        </is>
      </c>
      <c r="D23" s="93">
        <f>COUNTIF($F$8:$F$18,"Green")</f>
        <v/>
      </c>
      <c r="E23" s="94">
        <f>COUNTIF($F$8:$F$18,"Amber")</f>
        <v/>
      </c>
      <c r="F23" s="95">
        <f>COUNTIF($F$8:$F$18,"Red")</f>
        <v/>
      </c>
    </row>
    <row r="24" ht="25.5" customHeight="1" s="48">
      <c r="D24" s="96" t="inlineStr">
        <is>
          <t>Green</t>
        </is>
      </c>
      <c r="E24" s="96" t="inlineStr">
        <is>
          <t>Amber</t>
        </is>
      </c>
      <c r="F24" s="96" t="inlineStr">
        <is>
          <t>Red</t>
        </is>
      </c>
    </row>
    <row r="25" ht="25.5" customHeight="1" s="48"/>
    <row r="26" ht="25.5" customHeight="1" s="48"/>
    <row r="27" ht="15" customHeight="1" s="48"/>
    <row r="28" ht="15" customHeight="1" s="48"/>
  </sheetData>
  <mergeCells count="5">
    <mergeCell ref="A2:I2"/>
    <mergeCell ref="B3:C3"/>
    <mergeCell ref="A1:I1"/>
    <mergeCell ref="E3:F3"/>
    <mergeCell ref="H3:I3"/>
  </mergeCells>
  <conditionalFormatting sqref="F6:F26">
    <cfRule type="cellIs" rank="0" priority="2" equalAverage="0" operator="equal" aboveAverage="0" dxfId="0" text="" percent="0" bottom="0">
      <formula>"Green"</formula>
    </cfRule>
    <cfRule type="cellIs" rank="0" priority="3" equalAverage="0" operator="equal" aboveAverage="0" dxfId="3" text="" percent="0" bottom="0">
      <formula>"Amber"</formula>
    </cfRule>
    <cfRule type="cellIs" rank="0" priority="4" equalAverage="0" operator="equal" aboveAverage="0" dxfId="4" text="" percent="0" bottom="0">
      <formula>"Red"</formula>
    </cfRule>
  </conditionalFormatting>
  <dataValidations count="4">
    <dataValidation sqref="B6:B26" showDropDown="0" showInputMessage="0" showErrorMessage="0" allowBlank="1" errorTitle="Choose from the list" error="Pick a value from the list." type="list" errorStyle="stop" operator="between">
      <formula1>"BUILD,GROW,LAUNCH"</formula1>
      <formula2>0</formula2>
    </dataValidation>
    <dataValidation sqref="C6:C26" showDropDown="0" showInputMessage="0" showErrorMessage="0" allowBlank="1" errorTitle="Choose from the list" error="Pick a value from the list." type="list" errorStyle="stop" operator="between">
      <formula1>"English,Maths,Science,PSHE / RSE,RE,Humanities,Arts (Arts Award),PE,Careers / Vocational (ASDAN),Computing / Digital,Personal Development / PfA"</formula1>
      <formula2>0</formula2>
    </dataValidation>
    <dataValidation sqref="F6:F26" showDropDown="0" showInputMessage="0" showErrorMessage="0" allowBlank="1" errorTitle="Choose from the list" error="Pick a value from the list." type="list" errorStyle="stop" operator="between">
      <formula1>"Green,Amber,Red"</formula1>
      <formula2>0</formula2>
    </dataValidation>
    <dataValidation sqref="H6:H26" showDropDown="0" showInputMessage="0" showErrorMessage="0" allowBlank="1" errorTitle="Choose from the list" error="Pick a value from the list." type="list" errorStyle="stop" operator="between">
      <formula1>"Achieved (move on),Revisit in class,Intervention"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2026-06-22T07:46:21Z</dcterms:created>
  <dcterms:modified xsi:type="dcterms:W3CDTF">2026-07-29T16:31:01Z</dcterms:modified>
  <cp:lastModifiedBy>Hanna Kemp</cp:lastModifiedBy>
  <cp:revision>0</cp:revision>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0x0101002C6E38C4B2056147BFEE88C7F682B392</vt:lpwstr>
  </property>
  <property name="MediaServiceImageTags" fmtid="{D5CDD505-2E9C-101B-9397-08002B2CF9AE}" pid="3">
    <vt:lpwstr/>
  </property>
</Properties>
</file>