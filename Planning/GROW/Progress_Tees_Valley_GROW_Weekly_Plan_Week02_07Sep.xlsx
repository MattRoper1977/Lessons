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ly Plan" sheetId="1" state="visible" r:id="rId3"/>
    <sheet name="Students" sheetId="2" state="visible" r:id="rId4"/>
    <sheet name="Outcomes RA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<sst xmlns="http://schemas.openxmlformats.org/spreadsheetml/2006/main" count="167" uniqueCount="129">
  <si>
    <t xml:space="preserve">Weekly Planner - To be submitted to Head of School prior to the start of each Half-Term</t>
  </si>
  <si>
    <t xml:space="preserve">Progress Schools  ·  linked to the 2026/27 Schemes of Work</t>
  </si>
  <si>
    <t xml:space="preserve">Pathway</t>
  </si>
  <si>
    <t xml:space="preserve">GROW</t>
  </si>
  <si>
    <t xml:space="preserve">Week no.</t>
  </si>
  <si>
    <t xml:space="preserve">Term</t>
  </si>
  <si>
    <t xml:space="preserve">Autumn</t>
  </si>
  <si>
    <t xml:space="preserve">Group / class</t>
  </si>
  <si>
    <t xml:space="preserve">Theme</t>
  </si>
  <si>
    <t xml:space="preserve">Teacher</t>
  </si>
  <si>
    <t xml:space="preserve">Week commencing</t>
  </si>
  <si>
    <t xml:space="preserve">Reviewed by</t>
  </si>
  <si>
    <t xml:space="preserve">SMSC/BV this week: no calendar event — the weekly BV/KCSIE assembly series continues (log pupil coverage in the BV hub).  AHEAD: International Day of Peace lands Mon 21 Sep (W4).</t>
  </si>
  <si>
    <t xml:space="preserve">Subject</t>
  </si>
  <si>
    <t xml:space="preserve">SoW unit (this term)</t>
  </si>
  <si>
    <t xml:space="preserve">This week's outcome</t>
  </si>
  <si>
    <t xml:space="preserve">Activities</t>
  </si>
  <si>
    <t xml:space="preserve">Key vocabulary</t>
  </si>
  <si>
    <t xml:space="preserve">Resources required</t>
  </si>
  <si>
    <t xml:space="preserve">Assess. (F/S)</t>
  </si>
  <si>
    <t xml:space="preserve">Student adaptations</t>
  </si>
  <si>
    <t xml:space="preserve">Classroom support</t>
  </si>
  <si>
    <t xml:space="preserve">Evaluation (after teaching)</t>
  </si>
  <si>
    <t xml:space="preserve">English</t>
  </si>
  <si>
    <t xml:space="preserve">Identity in fiction &amp; life writing: finding evidence to support a point about a character.</t>
  </si>
  <si>
    <t xml:space="preserve">I can find evidence from the text to support a point about a character.</t>
  </si>
  <si>
    <t xml:space="preserve">Arrival task: match character traits to evidence → reread short extract → model point + evidence → students highlight/choose evidence → complete one supported P-E sentence or verbal response → quick share/check.</t>
  </si>
  <si>
    <t xml:space="preserve">evidence, quote, point, character, trait, detail, because</t>
  </si>
  <si>
    <t xml:space="preserve">Short extract; character-trait cards; evidence bank; highlighters; point + evidence frame; reading journal.</t>
  </si>
  <si>
    <t xml:space="preserve">F</t>
  </si>
  <si>
    <t xml:space="preserve">Reduced evidence bank; matching before writing; sentence stems: 'I think... because...'; oral rehearsal before recording; scribe/typing option.</t>
  </si>
  <si>
    <t xml:space="preserve">TA helps students locate evidence and rehearse a sentence orally. Teacher checks if evidence matches the point and records who is ready for more independent selection.
LOOP [Feedback Policy]: Voice = short margin edit / re-attempt [//, I/WS] → Audience: read the edit and name the change before adding [R]; one next step [NS] → EVIDENCE: coded book edit; clips for oracy [E: literacy] — live; deferred response only for extended writing.</t>
  </si>
  <si>
    <t xml:space="preserve">To complete after teaching: record who can choose evidence independently and who needs matching/choice scaffolds.  → Influence: shapes the next scaffold and the half-termly plan; SPaG routes to spelling intervention, not margin marking [NS].</t>
  </si>
  <si>
    <t xml:space="preserve">Maths</t>
  </si>
  <si>
    <t xml:space="preserve">Place value &amp; the four operations (KS2/3)</t>
  </si>
  <si>
    <t xml:space="preserve">I can use place value to compare and round numbers.</t>
  </si>
  <si>
    <t xml:space="preserve">Identify the value of digits in numbers using place value understanding, Compare and order numbers using place value knowledge, Use the symbols &lt;, &gt; and = correctly, Place numbers on number lines, Round numbers to the nearest 10, 100 or 1,000, Decide whether numbers round up or down.
Target-board rounding: throw for a number, round it to the nearest 10/100 to score — nearest wins the round, answers on mini-whiteboard show-me.</t>
  </si>
  <si>
    <t xml:space="preserve">Place value, Digit, Ones, Tens, Hundreds, Thousands, Compare, Order, Greater than, Less than, Equal to, Round, Nearest, Estimate, Number line</t>
  </si>
  <si>
    <t xml:space="preserve">Place value charts,Number lines, Comparison symbol cards (&lt;, &gt;, =), Rounding number lines</t>
  </si>
  <si>
    <t xml:space="preserve">Use concrete resources and visual aids to support understanding. Simplify numbers where necessary. Provide modelling, guided practice and vocabulary support. Use colour-coding and number lines to reinforce concepts. Challenge more able pupils with larger numbers and reasoning tasks.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</si>
  <si>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Teacher modelling of comparison and rounding strategies. Regular use of mathematical vocabulary. Practical resources available throughout lessons.  Ongoing assessment through questioning, observation and discussion.
LOOP [Feedback Policy]: Voice = mini-whiteboard show-me / re-do, verbal reply [VF, I] → Audience: name the corrected step back and tick the success criteria; [R] on an accurate re-do → EVIDENCE: photo of the practical proof + book note, same day [E: numeracy/vocational — daily evidence platform].</t>
  </si>
  <si>
    <t xml:space="preserve">Influence: next task adapted; who needs the method re-modelled shapes grouping and the half-termly plan [NS].</t>
  </si>
  <si>
    <t xml:space="preserve">Science</t>
  </si>
  <si>
    <t xml:space="preserve">Forces &amp; Earth in space (WRS Y5/6) — forces acting on objects · ELC 8939 · SoW Aut1·W2  [REALIGNED]</t>
  </si>
  <si>
    <t xml:space="preserve">I can name the forces acting on an object and draw them as arrows.</t>
  </si>
  <si>
    <t xml:space="preserve">Arrival: 'push or pull?' — sort 8 picture cards. I DO: model contact (friction, air resistance) vs non-contact (gravity, magnetism) and draw force arrows — longer arrow = bigger force. WE DO: label a falling ball together (gravity down, air resistance up). YOU DO: draw arrows on 3 pictures; say which force is bigger. EXIT: 'The forces on the ball are… and…' stem.  MISCONCEPTION (strike through): things do NOT fall because they are heavy — gravity pulls everything.  STRETCH: what happens when the arrows are the same length? (balanced — no change in motion)</t>
  </si>
  <si>
    <t xml:space="preserve">force, contact, non-contact, gravity, weight, air resistance, magnetism, arrow, balanced, unbalanced</t>
  </si>
  <si>
    <t xml:space="preserve">Picture sort cards; force-arrow mat; magnets; falling-ball diagram (blank + labelled); arrow strips to place; word mat; magenta copies.</t>
  </si>
  <si>
    <t xml:space="preserve">Arrows are placed as strips before they are drawn — removes the fine-motor barrier. Pupil A: back-row seat, never questioned on the spot; sentence starters, checklists and the word bank; extra time for neat presentation. Sort cards give a right answer before any writing happens.</t>
  </si>
  <si>
    <t xml:space="preserve">TA prompts 'is it touching?' as the contact/non-contact test. Teacher keeps the arrow-length rule on display. LOOP [Feedback Policy]: Voice = fair-test plan / results table / labelled diagram / short written describe / verbal reply [VF, //, I/WS] → Audience: read the answer or diagram back and name one improvement; [R] once received → EVIDENCE: coded, redrafted book + results photo [E: science — banks ELC 8939 evidence].</t>
  </si>
  <si>
    <t xml:space="preserve">Note who uses arrow LENGTH to show size vs who draws all arrows the same.  → Influence: arrow fluency is needed for W3–W5 fair tests; if weak, keep the arrow mat out all half-term [NS].</t>
  </si>
  <si>
    <t xml:space="preserve">PSHE / RSE</t>
  </si>
  <si>
    <t xml:space="preserve">Identity, rights &amp; British values (PSHE Association KS3 + ACT) · AQA UAS 'Rights &amp; responsibilities' · SoW Aut1·W2</t>
  </si>
  <si>
    <t xml:space="preserve">I can name some children's rights and the responsibilities that go with them.</t>
  </si>
  <si>
    <t xml:space="preserve">Rights Detectives' (active): relay-sort UNCRC rights cards → 'right or want?' move-to-a-corner game → match each right to a responsibility → vote a class charter (pupil voice / ballot).  EVIDENCE: matched cards + class charter (AQA UAS).  GCSE STRETCH: rights, rules &amp; the law → bridges to GCSE Citizenship Studies (AQA 8100).</t>
  </si>
  <si>
    <t xml:space="preserve">rights, responsibility, UNCRC, fair, respect, vote</t>
  </si>
  <si>
    <t xml:space="preserve">UNCRC child-friendly rights cards; responsibility match cards; class-charter template; ACT citizenship resources.</t>
  </si>
  <si>
    <t xml:space="preserve">Picture rights cards; simplified wording; scaffolded matching; supported voting.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</si>
  <si>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supports the matching activity and the charter vote.
LOOP [Feedback Policy]: Voice = campaign video / freeze-frame / card + verbal reply [VF] → Audience: name the strength back + one [NS]; listen to clips fully before tagging, then [R] → EVIDENCE: video/card photo to evidence platform, same day [E: PfA/citizenship/social enterprise — daily evidence platform].</t>
  </si>
  <si>
    <t xml:space="preserve">Influence: the W7 pitch shapes the W8 real action; outcomes feed APDR and the citizenship ladder [NS].</t>
  </si>
  <si>
    <t xml:space="preserve">RE</t>
  </si>
  <si>
    <t xml:space="preserve">Belief, festivals &amp; belonging (Geography, Kapow + RE)</t>
  </si>
  <si>
    <t xml:space="preserve">I can describe how beliefs can shape a person's identity.</t>
  </si>
  <si>
    <t xml:space="preserve">Explore how beliefs, values and traditions influence people's lives, Discuss how family, religion, culture and personal experiences can shape identity, Listen to stories about people from different faiths and backgrounds, Identify links between beliefs, actions and choices, Compare similarities and differences between people's beliefs and identities, Take part in discussions, role-play and reflection activities, Create drawings, posters or written responses showing how beliefs can influence individuals and communities.</t>
  </si>
  <si>
    <t xml:space="preserve">Belief, Identity, Faith, Religion, Values, Culture, Tradition, Community, Respect, Diversity, Influence, Similarities, Differences, Choice, Belonging, Worldview</t>
  </si>
  <si>
    <t xml:space="preserve">Stories and case studies, Photographs and discussion prompts, Images of different communities and faith groups, Art and craft materials, Vocabulary mats, Faith symbol cards</t>
  </si>
  <si>
    <t xml:space="preserve">Use visual prompts, stories and real-life examples to support understanding, Provide vocabulary mats and sentence starters for discussions, Allow pupils to respond through speaking, drawing, role-play or writing, Use paired and small-group activities to encourage participation. Provide additional adult support where required. Extend learning by encouraging pupils to explain links between beliefs, values and identity.
Per-pupil: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</si>
  <si>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Teacher modelling of respectful discussion and reflection. An inclusive environment where different beliefs and identities are valued. Guided questioning to develop understanding and empathy. Visual resources and key vocabulary displayed throughout the lesson. Small-group support and scaffolding where needed. Positive reinforcement of respectful contributions and participation. Ongoing assessment through discussion, observation and questioning.
LOOP [Feedback Policy]: Voice = defended bid / make + spoken reason / W5 paragraph [VF, //] → Audience: name the comparison back; for the W5 write, one [NS] then response time; [R] after received → EVIDENCE: photo of make/web + W5 paragraph in book [E: RE/enrichment] — W5 deferred.</t>
  </si>
  <si>
    <t xml:space="preserve">Influence: who compares vs describes shapes next week's stem and the half-termly plan [NS].</t>
  </si>
  <si>
    <t xml:space="preserve">Humanities</t>
  </si>
  <si>
    <t xml:space="preserve">Migration &amp; identity in Britain (History, Kapow) · NC KS2/3 · AQA UAS 'Historical enquiry' · ladders to GCSE History 8145 (Launch) · SoW Aut1·W2</t>
  </si>
  <si>
    <t xml:space="preserve">I can use a source to find out about migration to Britain.</t>
  </si>
  <si>
    <t xml:space="preserve">History Detective (active): move round source 'case-file' stations (photos / extracts / handling objects) → magnifying-glass hunt 'what does this tell us?' → hot-seat a migrant character (drama) → fill a 'what I found out' sheet.  BHM source on someone who shaped Britain.  EVIDENCE: detective sheet (AQA UAS).  GCSE STRETCH: 'how useful is this source?' reliability check → bridges to GCSE History 8145.  Pupil C (dyslexia, reading ~7): route him to the PHOTO / object / audio sources and the hot-seat drama, NOT the text extracts; his 'what I found out' captured by scribe or voice-note plus key words in his own hand.</t>
  </si>
  <si>
    <t xml:space="preserve">source, evidence, clue, find out, migration, past</t>
  </si>
  <si>
    <t xml:space="preserve">Source case-file cards (photos / extracts); magnifying glasses; 'what I found out' sheet; Coming to England extracts.</t>
  </si>
  <si>
    <t xml:space="preserve">Picture-rich sources; source glossary; sentence stems; reduced-source load.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</si>
  <si>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supports source-reading with the glossary.
LOOP [Feedback Policy]: Voice = source verdict / timeline placement / short account [//, I] → Audience: read against the success criteria and name the change; [R] after received → EVIDENCE: coded book + enquiry photos [E: humanities] — deferred for the written account.</t>
  </si>
  <si>
    <t xml:space="preserve">Influence: the source-use skill shapes the next enquiry's scaffold [NS].</t>
  </si>
  <si>
    <t xml:space="preserve">Arts (Arts Award)</t>
  </si>
  <si>
    <t xml:space="preserve">Identity in art &amp; developing skills (Trinity Arts Award Explore, toward Bronze) · AQA UAS 'Creating artwork' · SoW Creative Arts</t>
  </si>
  <si>
    <t xml:space="preserve">I can develop a skill and record it in my arts log.</t>
  </si>
  <si>
    <t xml:space="preserve">Pick a technique and 'level it up' (hands-on skill challenge) → make a surreal identity self-portrait (a 'this is me' symbol) → photograph each stage.  BHM artist who inspires me.  EVIDENCE: Explore log 'what I improved' + photos.  GCSE STRETCH: a development / refinement sketchbook page → bridges to Arts Award Bronze / GCSE Art.</t>
  </si>
  <si>
    <t xml:space="preserve">develop, skill, improve, technique, self-portrait, reflection</t>
  </si>
  <si>
    <t xml:space="preserve">Arts Award Explore logbooks; chosen media; BHM artist case studies; cameras / tablets.</t>
  </si>
  <si>
    <t xml:space="preserve">S</t>
  </si>
  <si>
    <t xml:space="preserve">Choice of medium; step-by-step demos; photo / voice-note reflection; reduced written load.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</si>
  <si>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supports evidence capture and uploads.
LOOP [Feedback Policy]: Voice = make + arts-log photo + comment [VF] → Audience: listen fully before tagging, one next technique [NS]; then [R] → EVIDENCE: Arts Award Explore log = the accreditation evidence, same day [E: Arts Award].</t>
  </si>
  <si>
    <t xml:space="preserve">Influence: the log builds toward Explore → Bronze/GCSE ladder; calibrated at moderation [NS].</t>
  </si>
  <si>
    <t xml:space="preserve">PE</t>
  </si>
  <si>
    <t xml:space="preserve">Careers / Vocational (ASDAN)</t>
  </si>
  <si>
    <t xml:space="preserve">Enrichment &amp; wider opportunities this week   (trips, visitors, themed days, SMSC calendar link, PfA / community)</t>
  </si>
  <si>
    <t xml:space="preserve">Black History Month launches (1 Oct) — diverse British history through Humanities, Art &amp; assemblies.  Whole-school theme assembly: Identity &amp; Belonging → diverse Britain.  PfA / community: a local walk — outdoor regulation &amp; community access; employer / visitor link if available.</t>
  </si>
  <si>
    <t xml:space="preserve">Resources &amp; support to prepare before the week   (printing, kit, bookings, briefing the team)</t>
  </si>
  <si>
    <t xml:space="preserve">Print: microscope picture-label &amp; 'what I see' drawing sheets, UNCRC rights &amp; responsibility cards + class-charter template, source case-file &amp; 'what I found out' sheets.  Kit &amp; H&amp;S: microscopes, prepared slides, onion (+ optional cheek / methylene blue), pond water — RISK ASSESSMENT signed &amp; a SECOND ADULT arranged for the practical; artefacts / source case-files &amp; magnifiers.  Brief TA.  Book cameras / tablets for Arts Award evidence.</t>
  </si>
  <si>
    <t xml:space="preserve">F = formative  ·  S = summative  ·  PfA = Preparing for Adulthood  </t>
  </si>
  <si>
    <t xml:space="preserve">Student Adaptations</t>
  </si>
  <si>
    <t xml:space="preserve">Name</t>
  </si>
  <si>
    <t xml:space="preserve">Year / KS</t>
  </si>
  <si>
    <t xml:space="preserve">Reading age band</t>
  </si>
  <si>
    <t xml:space="preserve">Communication / sensory needs</t>
  </si>
  <si>
    <t xml:space="preserve">Key scaffolds &amp; adaptations</t>
  </si>
  <si>
    <t xml:space="preserve">EHCP primary outcomes</t>
  </si>
  <si>
    <t xml:space="preserve">PfA focus</t>
  </si>
  <si>
    <t xml:space="preserve">Notes</t>
  </si>
  <si>
    <t xml:space="preserve">Pupil A</t>
  </si>
  <si>
    <t xml:space="preserve">KS4</t>
  </si>
  <si>
    <t xml:space="preserve">Pupil B</t>
  </si>
  <si>
    <t xml:space="preserve">Pupil C</t>
  </si>
  <si>
    <t xml:space="preserve">Outcome Tracker </t>
  </si>
  <si>
    <t xml:space="preserve">Did everyone make progress and meet the outcome? </t>
  </si>
  <si>
    <t xml:space="preserve">GREEN</t>
  </si>
  <si>
    <t xml:space="preserve">All demonstrated progress &amp; achieved the outcome</t>
  </si>
  <si>
    <t xml:space="preserve">AMBER</t>
  </si>
  <si>
    <t xml:space="preserve">Partly met, revisit in class</t>
  </si>
  <si>
    <t xml:space="preserve">RED</t>
  </si>
  <si>
    <t xml:space="preserve">Not met, pick up through intervention</t>
  </si>
  <si>
    <t xml:space="preserve">Week (w/c)</t>
  </si>
  <si>
    <t xml:space="preserve">Outcome reviewed</t>
  </si>
  <si>
    <t xml:space="preserve">Marking / evidence</t>
  </si>
  <si>
    <t xml:space="preserve">RAG</t>
  </si>
  <si>
    <t xml:space="preserve">Students not yet secure</t>
  </si>
  <si>
    <t xml:space="preserve">Picked up via</t>
  </si>
  <si>
    <t xml:space="preserve">Action &amp; timescale</t>
  </si>
  <si>
    <t xml:space="preserve">Students selected at least one relevant detail/quote and used it to support a simple point about a character.</t>
  </si>
  <si>
    <t xml:space="preserve">I can observe cells or specimens and describe what I see.</t>
  </si>
  <si>
    <t xml:space="preserve">This sheet:</t>
  </si>
  <si>
    <t xml:space="preserve">Green</t>
  </si>
  <si>
    <t xml:space="preserve">Amber</t>
  </si>
  <si>
    <t xml:space="preserve">Red</t>
  </si>
</sst>
</file>

<file path=xl/styles.xml><?xml version="1.0" encoding="utf-8"?>
<styleSheet xmlns="http://schemas.openxmlformats.org/spreadsheetml/2006/main">
  <numFmts count="4">
    <numFmt numFmtId="164" formatCode="General"/>
    <numFmt numFmtId="165" formatCode="d\-mmm\-yy"/>
    <numFmt numFmtId="166" formatCode="@"/>
    <numFmt numFmtId="167" formatCode="General"/>
  </numFmts>
  <fonts count="25">
    <font>
      <sz val="11"/>
      <color theme="1"/>
      <name val="Calibri"/>
      <family val="2"/>
      <charset val="1"/>
    </font>
    <font>
      <sz val="10"/>
      <name val="Arial"/>
      <family val="0"/>
    </font>
    <font>
      <sz val="10"/>
      <name val="Arial"/>
      <family val="0"/>
    </font>
    <font>
      <sz val="10"/>
      <name val="Arial"/>
      <family val="0"/>
    </font>
    <font>
      <b val="true"/>
      <sz val="18"/>
      <color rgb="FFFFFFFF"/>
      <name val="Arial"/>
      <family val="2"/>
      <charset val="1"/>
    </font>
    <font>
      <sz val="10"/>
      <color rgb="FF566159"/>
      <name val="Arial"/>
      <family val="2"/>
      <charset val="1"/>
    </font>
    <font>
      <b val="true"/>
      <sz val="9"/>
      <color rgb="FF566159"/>
      <name val="Arial"/>
      <family val="2"/>
      <charset val="1"/>
    </font>
    <font>
      <b val="true"/>
      <sz val="10"/>
      <color rgb="FF1B2420"/>
      <name val="Arial"/>
      <family val="2"/>
      <charset val="1"/>
    </font>
    <font>
      <b val="true"/>
      <sz val="10"/>
      <color rgb="FF2E7D4F"/>
      <name val="Arial"/>
      <family val="2"/>
      <charset val="1"/>
    </font>
    <font>
      <sz val="9"/>
      <color rgb="FF2E2A5D"/>
      <name val="Arial"/>
      <family val="0"/>
      <charset val="1"/>
    </font>
    <font>
      <b val="true"/>
      <sz val="9"/>
      <color rgb="FFFFFFFF"/>
      <name val="Arial"/>
      <family val="2"/>
      <charset val="1"/>
    </font>
    <font>
      <b val="true"/>
      <sz val="9"/>
      <color rgb="FF1B2420"/>
      <name val="Arial"/>
      <family val="2"/>
      <charset val="1"/>
    </font>
    <font>
      <sz val="9"/>
      <color rgb="FF000000"/>
      <name val="Arial"/>
      <family val="2"/>
      <charset val="1"/>
    </font>
    <font>
      <sz val="10"/>
      <color rgb="FF000000"/>
      <name val="Aptos"/>
      <family val="2"/>
      <charset val="1"/>
    </font>
    <font>
      <sz val="9"/>
      <color rgb="FF1B2420"/>
      <name val="Arial"/>
      <family val="2"/>
      <charset val="1"/>
    </font>
    <font>
      <i val="true"/>
      <sz val="8"/>
      <color rgb="FF566159"/>
      <name val="Arial"/>
      <family val="2"/>
      <charset val="1"/>
    </font>
    <font>
      <b val="true"/>
      <sz val="16"/>
      <color rgb="FFFFFFFF"/>
      <name val="Arial"/>
      <family val="2"/>
      <charset val="1"/>
    </font>
    <font>
      <b val="true"/>
      <sz val="9"/>
      <color rgb="FF1B2420"/>
      <name val="Arial"/>
      <family val="0"/>
      <charset val="1"/>
    </font>
    <font>
      <sz val="9"/>
      <color rgb="FF1B2420"/>
      <name val="Arial"/>
      <family val="0"/>
      <charset val="1"/>
    </font>
    <font>
      <sz val="9"/>
      <color theme="1"/>
      <name val="Arial"/>
      <family val="0"/>
      <charset val="1"/>
    </font>
    <font>
      <b val="true"/>
      <sz val="11"/>
      <color theme="1"/>
      <name val="Calibri"/>
      <family val="2"/>
      <charset val="1"/>
    </font>
    <font>
      <sz val="10"/>
      <name val="Arial"/>
      <family val="2"/>
      <charset val="1"/>
    </font>
    <font>
      <sz val="9"/>
      <name val="Arial"/>
      <family val="2"/>
      <charset val="1"/>
    </font>
    <font>
      <b val="true"/>
      <sz val="10"/>
      <color rgb="FFFFFFFF"/>
      <name val="Arial"/>
      <family val="2"/>
      <charset val="1"/>
    </font>
    <font>
      <sz val="8"/>
      <color rgb="FF566159"/>
      <name val="Arial"/>
      <family val="2"/>
      <charset val="1"/>
    </font>
  </fonts>
  <fills count="10">
    <fill>
      <patternFill patternType="none"/>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5">
    <border diagonalUp="false" diagonalDown="false">
      <left/>
      <right/>
      <top/>
      <bottom/>
      <diagonal/>
    </border>
    <border diagonalUp="false" diagonalDown="false">
      <left/>
      <right/>
      <top/>
      <bottom style="thin">
        <color rgb="FFC3CDC1"/>
      </bottom>
      <diagonal/>
    </border>
    <border diagonalUp="false" diagonalDown="false">
      <left style="thin">
        <color rgb="FFC9C9D6"/>
      </left>
      <right style="thin">
        <color rgb="FFC9C9D6"/>
      </right>
      <top style="thin">
        <color rgb="FFC9C9D6"/>
      </top>
      <bottom style="thin">
        <color rgb="FFC9C9D6"/>
      </bottom>
      <diagonal/>
    </border>
    <border diagonalUp="false" diagonalDown="false">
      <left style="thin">
        <color rgb="FFC3CDC1"/>
      </left>
      <right style="thin">
        <color rgb="FFC3CDC1"/>
      </right>
      <top style="thin">
        <color rgb="FFC3CDC1"/>
      </top>
      <bottom style="thin">
        <color rgb="FFC3CDC1"/>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general" vertical="top" textRotation="0" wrapText="true" indent="0" shrinkToFit="false"/>
      <protection locked="true" hidden="false"/>
    </xf>
    <xf numFmtId="164" fontId="10" fillId="2" borderId="3" xfId="0" applyFont="true" applyBorder="true" applyAlignment="true" applyProtection="false">
      <alignment horizontal="center" vertical="center" textRotation="0" wrapText="true" indent="0" shrinkToFit="false"/>
      <protection locked="true" hidden="false"/>
    </xf>
    <xf numFmtId="164" fontId="11" fillId="5" borderId="3" xfId="0" applyFont="true" applyBorder="true" applyAlignment="true" applyProtection="false">
      <alignment horizontal="left" vertical="center" textRotation="0" wrapText="true" indent="0" shrinkToFit="false"/>
      <protection locked="true" hidden="false"/>
    </xf>
    <xf numFmtId="164" fontId="12" fillId="5" borderId="4" xfId="0" applyFont="true" applyBorder="true" applyAlignment="true" applyProtection="false">
      <alignment horizontal="general" vertical="bottom" textRotation="0" wrapText="true" indent="0" shrinkToFit="false"/>
      <protection locked="true" hidden="false"/>
    </xf>
    <xf numFmtId="164" fontId="13" fillId="5" borderId="4" xfId="0" applyFont="true" applyBorder="true" applyAlignment="true" applyProtection="false">
      <alignment horizontal="general" vertical="bottom" textRotation="0" wrapText="true" indent="0" shrinkToFit="false"/>
      <protection locked="true" hidden="false"/>
    </xf>
    <xf numFmtId="164" fontId="14" fillId="5" borderId="3" xfId="0" applyFont="true" applyBorder="true" applyAlignment="true" applyProtection="false">
      <alignment horizontal="left" vertical="center" textRotation="0" wrapText="true" indent="0" shrinkToFit="false"/>
      <protection locked="true" hidden="false"/>
    </xf>
    <xf numFmtId="164" fontId="11" fillId="6" borderId="3" xfId="0" applyFont="true" applyBorder="true" applyAlignment="true" applyProtection="false">
      <alignment horizontal="left" vertical="center" textRotation="0" wrapText="true" indent="0" shrinkToFit="false"/>
      <protection locked="true" hidden="false"/>
    </xf>
    <xf numFmtId="164" fontId="14" fillId="6" borderId="3" xfId="0" applyFont="true" applyBorder="true" applyAlignment="true" applyProtection="false">
      <alignment horizontal="left" vertical="center"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xf numFmtId="164" fontId="14" fillId="6" borderId="3"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left" vertical="center" textRotation="0" wrapText="false" indent="0" shrinkToFit="false"/>
      <protection locked="true" hidden="false"/>
    </xf>
    <xf numFmtId="164" fontId="16" fillId="2" borderId="0" xfId="0" applyFont="true" applyBorder="true" applyAlignment="true" applyProtection="false">
      <alignment horizontal="left" vertical="center" textRotation="0" wrapText="false" indent="0" shrinkToFit="false"/>
      <protection locked="true" hidden="false"/>
    </xf>
    <xf numFmtId="164" fontId="17" fillId="5" borderId="3" xfId="0" applyFont="true" applyBorder="true" applyAlignment="true" applyProtection="false">
      <alignment horizontal="left" vertical="center" textRotation="0" wrapText="true" indent="0" shrinkToFit="false"/>
      <protection locked="true" hidden="false"/>
    </xf>
    <xf numFmtId="164" fontId="18" fillId="5" borderId="3" xfId="0" applyFont="true" applyBorder="true" applyAlignment="true" applyProtection="false">
      <alignment horizontal="left" vertical="center" textRotation="0" wrapText="true" indent="0" shrinkToFit="false"/>
      <protection locked="true" hidden="false"/>
    </xf>
    <xf numFmtId="166" fontId="18" fillId="5" borderId="3" xfId="0" applyFont="true" applyBorder="tru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18" fillId="6" borderId="3" xfId="0" applyFont="true" applyBorder="true" applyAlignment="true" applyProtection="false">
      <alignment horizontal="left" vertical="center" textRotation="0" wrapText="true" indent="0" shrinkToFit="false"/>
      <protection locked="true" hidden="false"/>
    </xf>
    <xf numFmtId="164" fontId="17" fillId="6" borderId="3" xfId="0" applyFont="true" applyBorder="true" applyAlignment="true" applyProtection="false">
      <alignment horizontal="left" vertical="center" textRotation="0" wrapText="true" indent="0" shrinkToFit="false"/>
      <protection locked="true" hidden="false"/>
    </xf>
    <xf numFmtId="166" fontId="18" fillId="6" borderId="3" xfId="0" applyFont="true" applyBorder="true" applyAlignment="true" applyProtection="false">
      <alignment horizontal="left" vertical="center" textRotation="0" wrapText="true" indent="0" shrinkToFit="false"/>
      <protection locked="true" hidden="false"/>
    </xf>
    <xf numFmtId="164" fontId="20" fillId="6" borderId="3" xfId="0" applyFont="true" applyBorder="true" applyAlignment="true" applyProtection="false">
      <alignment horizontal="left" vertical="center" textRotation="0" wrapText="true" indent="0" shrinkToFit="false"/>
      <protection locked="true" hidden="false"/>
    </xf>
    <xf numFmtId="164" fontId="0" fillId="6" borderId="3" xfId="0" applyFont="true" applyBorder="true" applyAlignment="true" applyProtection="false">
      <alignment horizontal="left" vertical="center" textRotation="0" wrapText="true" indent="0" shrinkToFit="false"/>
      <protection locked="true" hidden="false"/>
    </xf>
    <xf numFmtId="166" fontId="0" fillId="6" borderId="3" xfId="0" applyFont="fals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5" borderId="3" xfId="0" applyFont="false" applyBorder="true" applyAlignment="true" applyProtection="false">
      <alignment horizontal="left" vertical="center" textRotation="0" wrapText="true" indent="0" shrinkToFit="false"/>
      <protection locked="true" hidden="false"/>
    </xf>
    <xf numFmtId="164" fontId="21" fillId="0" borderId="0" xfId="0" applyFont="true" applyBorder="true" applyAlignment="true" applyProtection="false">
      <alignment horizontal="left"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true" applyAlignment="true" applyProtection="false">
      <alignment horizontal="left" vertical="center"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10" fillId="9" borderId="0" xfId="0" applyFont="true" applyBorder="false" applyAlignment="true" applyProtection="false">
      <alignment horizontal="center" vertical="center" textRotation="0" wrapText="false" indent="0" shrinkToFit="false"/>
      <protection locked="true" hidden="false"/>
    </xf>
    <xf numFmtId="165" fontId="11" fillId="5" borderId="3" xfId="0" applyFont="true" applyBorder="true" applyAlignment="true" applyProtection="false">
      <alignment horizontal="left" vertical="center" textRotation="0" wrapText="true" indent="0" shrinkToFit="false"/>
      <protection locked="true" hidden="false"/>
    </xf>
    <xf numFmtId="164" fontId="0" fillId="5" borderId="3" xfId="0" applyFont="true" applyBorder="true" applyAlignment="true" applyProtection="false">
      <alignment horizontal="left" vertical="center" textRotation="0" wrapText="true" indent="0" shrinkToFit="false"/>
      <protection locked="true" hidden="false"/>
    </xf>
    <xf numFmtId="164" fontId="0" fillId="6" borderId="3" xfId="0" applyFont="fals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23" fillId="7" borderId="0" xfId="0" applyFont="true" applyBorder="false" applyAlignment="true" applyProtection="false">
      <alignment horizontal="center" vertical="center" textRotation="0" wrapText="false" indent="0" shrinkToFit="false"/>
      <protection locked="true" hidden="false"/>
    </xf>
    <xf numFmtId="167" fontId="23" fillId="8" borderId="0" xfId="0" applyFont="true" applyBorder="false" applyAlignment="true" applyProtection="false">
      <alignment horizontal="center" vertical="center" textRotation="0" wrapText="false" indent="0" shrinkToFit="false"/>
      <protection locked="true" hidden="false"/>
    </xf>
    <xf numFmtId="167" fontId="23" fillId="9" borderId="0" xfId="0" applyFont="true" applyBorder="false" applyAlignment="true" applyProtection="false">
      <alignment horizontal="center" vertical="center" textRotation="0" wrapText="fals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003300"/>
      <rgbColor rgb="FF1B2420"/>
      <rgbColor rgb="FFC0392B"/>
      <rgbColor rgb="FF993366"/>
      <rgbColor rgb="FF333399"/>
      <rgbColor rgb="FF2E2A5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J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9" topLeftCell="A13" activePane="bottomLeft" state="frozen"/>
      <selection pane="topLeft" activeCell="A1" activeCellId="0" sqref="A1"/>
      <selection pane="bottomLeft" activeCell="C13" activeCellId="0" sqref="C13"/>
    </sheetView>
  </sheetViews>
  <sheetFormatPr defaultColWidth="8.5625" defaultRowHeight="14.2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4" min="3" style="1" width="26"/>
    <col collapsed="false" customWidth="true" hidden="false" outlineLevel="0" max="5" min="5" style="1" width="16"/>
    <col collapsed="false" customWidth="true" hidden="false" outlineLevel="0" max="6" min="6" style="1" width="20"/>
    <col collapsed="false" customWidth="true" hidden="false" outlineLevel="0" max="7" min="7" style="1" width="10"/>
    <col collapsed="false" customWidth="true" hidden="false" outlineLevel="0" max="8" min="8" style="1" width="26"/>
    <col collapsed="false" customWidth="true" hidden="false" outlineLevel="0" max="10" min="9" style="1" width="22"/>
  </cols>
  <sheetData>
    <row r="1" customFormat="false" ht="30" hidden="false" customHeight="true" outlineLevel="0" collapsed="false">
      <c r="A1" s="2" t="s">
        <v>0</v>
      </c>
      <c r="B1" s="2"/>
      <c r="C1" s="2"/>
      <c r="D1" s="2"/>
      <c r="E1" s="2"/>
      <c r="F1" s="2"/>
      <c r="G1" s="2"/>
      <c r="H1" s="2"/>
      <c r="I1" s="2"/>
      <c r="J1" s="2"/>
    </row>
    <row r="2" customFormat="false" ht="14.25" hidden="false" customHeight="true" outlineLevel="0" collapsed="false">
      <c r="A2" s="3" t="s">
        <v>1</v>
      </c>
      <c r="B2" s="3"/>
      <c r="C2" s="3"/>
      <c r="D2" s="3"/>
      <c r="E2" s="3"/>
      <c r="F2" s="3"/>
      <c r="G2" s="3"/>
      <c r="H2" s="3"/>
      <c r="I2" s="3"/>
      <c r="J2" s="3"/>
    </row>
    <row r="4" customFormat="false" ht="19.5" hidden="false" customHeight="true" outlineLevel="0" collapsed="false">
      <c r="A4" s="4" t="s">
        <v>2</v>
      </c>
      <c r="B4" s="5" t="s">
        <v>3</v>
      </c>
      <c r="D4" s="1" t="n">
        <v>2</v>
      </c>
      <c r="F4" s="4" t="s">
        <v>4</v>
      </c>
      <c r="G4" s="5" t="n">
        <v>2</v>
      </c>
    </row>
    <row r="5" customFormat="false" ht="19.5" hidden="false" customHeight="true" outlineLevel="0" collapsed="false">
      <c r="A5" s="4" t="s">
        <v>5</v>
      </c>
      <c r="B5" s="5" t="s">
        <v>6</v>
      </c>
      <c r="F5" s="4" t="s">
        <v>7</v>
      </c>
      <c r="G5" s="5"/>
    </row>
    <row r="6" customFormat="false" ht="19.5" hidden="false" customHeight="true" outlineLevel="0" collapsed="false">
      <c r="A6" s="4" t="s">
        <v>8</v>
      </c>
      <c r="B6" s="6" t="str">
        <f aca="false">IF(B5="Autumn","Identity &amp; Belonging",IF(B5="Spring","Resilience &amp; Change",IF(B5="Summer","Our World, My Future","pick a term")))</f>
        <v>Identity &amp; Belonging</v>
      </c>
      <c r="C6" s="6"/>
      <c r="D6" s="6"/>
      <c r="F6" s="4" t="s">
        <v>9</v>
      </c>
      <c r="G6" s="5"/>
    </row>
    <row r="7" customFormat="false" ht="19.5" hidden="false" customHeight="true" outlineLevel="0" collapsed="false">
      <c r="A7" s="4" t="s">
        <v>10</v>
      </c>
      <c r="B7" s="7" t="n">
        <v>46272</v>
      </c>
      <c r="F7" s="4" t="s">
        <v>11</v>
      </c>
      <c r="G7" s="5"/>
    </row>
    <row r="8" customFormat="false" ht="33.75" hidden="false" customHeight="true" outlineLevel="0" collapsed="false">
      <c r="A8" s="8" t="s">
        <v>12</v>
      </c>
      <c r="B8" s="8"/>
      <c r="C8" s="8"/>
      <c r="D8" s="8"/>
      <c r="E8" s="8"/>
      <c r="F8" s="8"/>
      <c r="G8" s="8"/>
      <c r="H8" s="8"/>
      <c r="I8" s="8"/>
      <c r="J8" s="8"/>
    </row>
    <row r="9" customFormat="false" ht="30" hidden="false" customHeight="true" outlineLevel="0" collapsed="false">
      <c r="A9" s="9" t="s">
        <v>13</v>
      </c>
      <c r="B9" s="9" t="s">
        <v>14</v>
      </c>
      <c r="C9" s="9" t="s">
        <v>15</v>
      </c>
      <c r="D9" s="9" t="s">
        <v>16</v>
      </c>
      <c r="E9" s="9" t="s">
        <v>17</v>
      </c>
      <c r="F9" s="9" t="s">
        <v>18</v>
      </c>
      <c r="G9" s="9" t="s">
        <v>19</v>
      </c>
      <c r="H9" s="9" t="s">
        <v>20</v>
      </c>
      <c r="I9" s="9" t="s">
        <v>21</v>
      </c>
      <c r="J9" s="9" t="s">
        <v>22</v>
      </c>
    </row>
    <row r="10" customFormat="false" ht="330" hidden="false" customHeight="true" outlineLevel="0" collapsed="false">
      <c r="A10" s="10" t="s">
        <v>23</v>
      </c>
      <c r="B10" s="11" t="s">
        <v>24</v>
      </c>
      <c r="C10" s="11" t="s">
        <v>25</v>
      </c>
      <c r="D10" s="11" t="s">
        <v>26</v>
      </c>
      <c r="E10" s="11" t="s">
        <v>27</v>
      </c>
      <c r="F10" s="12" t="s">
        <v>28</v>
      </c>
      <c r="G10" s="13" t="s">
        <v>29</v>
      </c>
      <c r="H10" s="12" t="s">
        <v>30</v>
      </c>
      <c r="I10" s="12" t="s">
        <v>31</v>
      </c>
      <c r="J10" s="12" t="s">
        <v>32</v>
      </c>
    </row>
    <row r="11" customFormat="false" ht="330" hidden="false" customHeight="true" outlineLevel="0" collapsed="false">
      <c r="A11" s="14" t="s">
        <v>33</v>
      </c>
      <c r="B11" s="15" t="s">
        <v>34</v>
      </c>
      <c r="C11" s="15" t="s">
        <v>35</v>
      </c>
      <c r="D11" s="15" t="s">
        <v>36</v>
      </c>
      <c r="E11" s="15" t="s">
        <v>37</v>
      </c>
      <c r="F11" s="15" t="s">
        <v>38</v>
      </c>
      <c r="G11" s="15" t="s">
        <v>29</v>
      </c>
      <c r="H11" s="15" t="s">
        <v>39</v>
      </c>
      <c r="I11" s="15" t="s">
        <v>40</v>
      </c>
      <c r="J11" s="15" t="s">
        <v>41</v>
      </c>
    </row>
    <row r="12" customFormat="false" ht="339.75" hidden="false" customHeight="true" outlineLevel="0" collapsed="false">
      <c r="A12" s="10" t="s">
        <v>42</v>
      </c>
      <c r="B12" s="13" t="s">
        <v>43</v>
      </c>
      <c r="C12" s="13" t="s">
        <v>44</v>
      </c>
      <c r="D12" s="13" t="s">
        <v>45</v>
      </c>
      <c r="E12" s="13" t="s">
        <v>46</v>
      </c>
      <c r="F12" s="13" t="s">
        <v>47</v>
      </c>
      <c r="G12" s="13" t="s">
        <v>29</v>
      </c>
      <c r="H12" s="13" t="s">
        <v>48</v>
      </c>
      <c r="I12" s="13" t="s">
        <v>49</v>
      </c>
      <c r="J12" s="13" t="s">
        <v>50</v>
      </c>
    </row>
    <row r="13" customFormat="false" ht="330" hidden="false" customHeight="true" outlineLevel="0" collapsed="false">
      <c r="A13" s="14" t="s">
        <v>51</v>
      </c>
      <c r="B13" s="15" t="s">
        <v>52</v>
      </c>
      <c r="C13" s="15" t="s">
        <v>53</v>
      </c>
      <c r="D13" s="15" t="s">
        <v>54</v>
      </c>
      <c r="E13" s="15" t="s">
        <v>55</v>
      </c>
      <c r="F13" s="15" t="s">
        <v>56</v>
      </c>
      <c r="G13" s="15" t="s">
        <v>29</v>
      </c>
      <c r="H13" s="15" t="s">
        <v>57</v>
      </c>
      <c r="I13" s="15" t="s">
        <v>58</v>
      </c>
      <c r="J13" s="15" t="s">
        <v>59</v>
      </c>
    </row>
    <row r="14" customFormat="false" ht="330" hidden="false" customHeight="true" outlineLevel="0" collapsed="false">
      <c r="A14" s="10" t="s">
        <v>60</v>
      </c>
      <c r="B14" s="13" t="s">
        <v>61</v>
      </c>
      <c r="C14" s="13" t="s">
        <v>62</v>
      </c>
      <c r="D14" s="13" t="s">
        <v>63</v>
      </c>
      <c r="E14" s="13" t="s">
        <v>64</v>
      </c>
      <c r="F14" s="13" t="s">
        <v>65</v>
      </c>
      <c r="G14" s="13" t="s">
        <v>29</v>
      </c>
      <c r="H14" s="13" t="s">
        <v>66</v>
      </c>
      <c r="I14" s="13" t="s">
        <v>67</v>
      </c>
      <c r="J14" s="13" t="s">
        <v>68</v>
      </c>
    </row>
    <row r="15" customFormat="false" ht="360" hidden="false" customHeight="true" outlineLevel="0" collapsed="false">
      <c r="A15" s="14" t="s">
        <v>69</v>
      </c>
      <c r="B15" s="15" t="s">
        <v>70</v>
      </c>
      <c r="C15" s="15" t="s">
        <v>71</v>
      </c>
      <c r="D15" s="15" t="s">
        <v>72</v>
      </c>
      <c r="E15" s="15" t="s">
        <v>73</v>
      </c>
      <c r="F15" s="15" t="s">
        <v>74</v>
      </c>
      <c r="G15" s="15" t="s">
        <v>29</v>
      </c>
      <c r="H15" s="15" t="s">
        <v>75</v>
      </c>
      <c r="I15" s="15" t="s">
        <v>76</v>
      </c>
      <c r="J15" s="15" t="s">
        <v>77</v>
      </c>
    </row>
    <row r="16" customFormat="false" ht="330" hidden="false" customHeight="true" outlineLevel="0" collapsed="false">
      <c r="A16" s="10" t="s">
        <v>78</v>
      </c>
      <c r="B16" s="13" t="s">
        <v>79</v>
      </c>
      <c r="C16" s="13" t="s">
        <v>80</v>
      </c>
      <c r="D16" s="13" t="s">
        <v>81</v>
      </c>
      <c r="E16" s="13" t="s">
        <v>82</v>
      </c>
      <c r="F16" s="13" t="s">
        <v>83</v>
      </c>
      <c r="G16" s="13" t="s">
        <v>84</v>
      </c>
      <c r="H16" s="13" t="s">
        <v>85</v>
      </c>
      <c r="I16" s="13" t="s">
        <v>86</v>
      </c>
      <c r="J16" s="13" t="s">
        <v>87</v>
      </c>
    </row>
    <row r="17" customFormat="false" ht="45.75" hidden="false" customHeight="true" outlineLevel="0" collapsed="false">
      <c r="A17" s="14" t="s">
        <v>88</v>
      </c>
      <c r="B17" s="15"/>
      <c r="C17" s="15"/>
      <c r="D17" s="15"/>
      <c r="E17" s="15"/>
      <c r="F17" s="15"/>
      <c r="G17" s="15"/>
      <c r="H17" s="15"/>
      <c r="I17" s="15"/>
      <c r="J17" s="15"/>
    </row>
    <row r="18" customFormat="false" ht="45.75" hidden="false" customHeight="true" outlineLevel="0" collapsed="false">
      <c r="A18" s="10" t="s">
        <v>89</v>
      </c>
      <c r="B18" s="13"/>
      <c r="C18" s="13"/>
      <c r="D18" s="13"/>
      <c r="E18" s="13"/>
      <c r="F18" s="13"/>
      <c r="G18" s="13"/>
      <c r="H18" s="13"/>
      <c r="I18" s="13"/>
      <c r="J18" s="13"/>
    </row>
    <row r="20" customFormat="false" ht="18" hidden="false" customHeight="true" outlineLevel="0" collapsed="false">
      <c r="A20" s="16" t="s">
        <v>90</v>
      </c>
      <c r="B20" s="16"/>
      <c r="C20" s="16"/>
      <c r="D20" s="16"/>
      <c r="E20" s="16"/>
      <c r="F20" s="16"/>
      <c r="G20" s="16"/>
      <c r="H20" s="16"/>
      <c r="I20" s="16"/>
      <c r="J20" s="16"/>
    </row>
    <row r="21" customFormat="false" ht="117.75" hidden="false" customHeight="true" outlineLevel="0" collapsed="false">
      <c r="A21" s="17" t="s">
        <v>91</v>
      </c>
      <c r="B21" s="17"/>
      <c r="C21" s="17"/>
      <c r="D21" s="17"/>
      <c r="E21" s="17"/>
      <c r="F21" s="17"/>
      <c r="G21" s="17"/>
      <c r="H21" s="17"/>
      <c r="I21" s="17"/>
      <c r="J21" s="17"/>
    </row>
    <row r="22" customFormat="false" ht="18" hidden="false" customHeight="true" outlineLevel="0" collapsed="false">
      <c r="A22" s="16" t="s">
        <v>92</v>
      </c>
      <c r="B22" s="16"/>
      <c r="C22" s="16"/>
      <c r="D22" s="16"/>
      <c r="E22" s="16"/>
      <c r="F22" s="16"/>
      <c r="G22" s="16"/>
      <c r="H22" s="16"/>
      <c r="I22" s="16"/>
      <c r="J22" s="16"/>
    </row>
    <row r="23" customFormat="false" ht="141.75" hidden="false" customHeight="true" outlineLevel="0" collapsed="false">
      <c r="A23" s="17" t="s">
        <v>93</v>
      </c>
      <c r="B23" s="17"/>
      <c r="C23" s="17"/>
      <c r="D23" s="17"/>
      <c r="E23" s="17"/>
      <c r="F23" s="17"/>
      <c r="G23" s="17"/>
      <c r="H23" s="17"/>
      <c r="I23" s="17"/>
      <c r="J23" s="17"/>
    </row>
    <row r="24" customFormat="false" ht="14.25" hidden="false" customHeight="true" outlineLevel="0" collapsed="false">
      <c r="A24" s="18" t="s">
        <v>94</v>
      </c>
      <c r="B24" s="18"/>
      <c r="C24" s="18"/>
      <c r="D24" s="18"/>
      <c r="E24" s="18"/>
      <c r="F24" s="18"/>
      <c r="G24" s="18"/>
      <c r="H24" s="18"/>
      <c r="I24" s="18"/>
      <c r="J24" s="18"/>
    </row>
  </sheetData>
  <mergeCells count="9">
    <mergeCell ref="A1:J1"/>
    <mergeCell ref="A2:J2"/>
    <mergeCell ref="B6:D6"/>
    <mergeCell ref="A8:J8"/>
    <mergeCell ref="A20:J20"/>
    <mergeCell ref="A21:J21"/>
    <mergeCell ref="A22:J22"/>
    <mergeCell ref="A23:J23"/>
    <mergeCell ref="A24:J24"/>
  </mergeCells>
  <dataValidations count="4">
    <dataValidation allowBlank="true" error="Pick a value from the list." errorStyle="stop" errorTitle="Choose from the list" operator="between" showDropDown="false" showErrorMessage="false" showInputMessage="false" sqref="B4" type="list">
      <formula1>"BUILD,GROW,LAUNCH"</formula1>
      <formula2>0</formula2>
    </dataValidation>
    <dataValidation allowBlank="true" error="Pick a value from the list." errorStyle="stop" errorTitle="Choose from the list" operator="between" showDropDown="false" showErrorMessage="false" showInputMessage="false" sqref="B5" type="list">
      <formula1>"Autumn,Spring,Summer"</formula1>
      <formula2>0</formula2>
    </dataValidation>
    <dataValidation allowBlank="true" error="Pick a value from the list." errorStyle="stop" errorTitle="Choose from the list" operator="between" showDropDown="false" showErrorMessage="false" showInputMessage="false" sqref="A10:A18"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G10:G18" type="list">
      <formula1>"F,S,F + 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6" activePane="bottomLeft" state="frozen"/>
      <selection pane="topLeft" activeCell="A1" activeCellId="0" sqref="A1"/>
      <selection pane="bottomLeft" activeCell="A7" activeCellId="0" sqref="A7"/>
    </sheetView>
  </sheetViews>
  <sheetFormatPr defaultColWidth="8.5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10"/>
    <col collapsed="false" customWidth="true" hidden="false" outlineLevel="0" max="4" min="4" style="1" width="15"/>
    <col collapsed="false" customWidth="true" hidden="false" outlineLevel="0" max="5" min="5" style="1" width="26"/>
    <col collapsed="false" customWidth="true" hidden="false" outlineLevel="0" max="7" min="6" style="1" width="28"/>
    <col collapsed="false" customWidth="true" hidden="false" outlineLevel="0" max="8" min="8" style="1" width="18"/>
    <col collapsed="false" customWidth="true" hidden="false" outlineLevel="0" max="9" min="9" style="1" width="22"/>
  </cols>
  <sheetData>
    <row r="1" customFormat="false" ht="25.5" hidden="false" customHeight="true" outlineLevel="0" collapsed="false">
      <c r="A1" s="19" t="s">
        <v>95</v>
      </c>
      <c r="B1" s="19"/>
      <c r="C1" s="19"/>
      <c r="D1" s="19"/>
      <c r="E1" s="19"/>
      <c r="F1" s="19"/>
      <c r="G1" s="19"/>
      <c r="H1" s="19"/>
      <c r="I1" s="19"/>
    </row>
    <row r="2" customFormat="false" ht="14.25" hidden="false" customHeight="true" outlineLevel="0" collapsed="false">
      <c r="A2" s="3"/>
      <c r="B2" s="3"/>
      <c r="C2" s="3"/>
      <c r="D2" s="3"/>
      <c r="E2" s="3"/>
      <c r="F2" s="3"/>
      <c r="G2" s="3"/>
      <c r="H2" s="3"/>
      <c r="I2" s="3"/>
    </row>
    <row r="4" customFormat="false" ht="27.75" hidden="false" customHeight="true" outlineLevel="0" collapsed="false">
      <c r="A4" s="9" t="s">
        <v>96</v>
      </c>
      <c r="B4" s="9" t="s">
        <v>2</v>
      </c>
      <c r="C4" s="9" t="s">
        <v>97</v>
      </c>
      <c r="D4" s="9" t="s">
        <v>98</v>
      </c>
      <c r="E4" s="9" t="s">
        <v>99</v>
      </c>
      <c r="F4" s="9" t="s">
        <v>100</v>
      </c>
      <c r="G4" s="9" t="s">
        <v>101</v>
      </c>
      <c r="H4" s="9" t="s">
        <v>102</v>
      </c>
      <c r="I4" s="9" t="s">
        <v>103</v>
      </c>
    </row>
    <row r="5" customFormat="false" ht="42" hidden="false" customHeight="true" outlineLevel="0" collapsed="false">
      <c r="A5" s="10" t="s">
        <v>104</v>
      </c>
      <c r="B5" s="13" t="s">
        <v>3</v>
      </c>
      <c r="C5" s="13" t="s">
        <v>105</v>
      </c>
      <c r="D5" s="13"/>
      <c r="E5" s="13"/>
      <c r="F5" s="13"/>
      <c r="G5" s="13"/>
      <c r="H5" s="13"/>
      <c r="I5" s="13"/>
    </row>
    <row r="6" customFormat="false" ht="42" hidden="false" customHeight="true" outlineLevel="0" collapsed="false">
      <c r="A6" s="14" t="s">
        <v>106</v>
      </c>
      <c r="B6" s="13" t="s">
        <v>3</v>
      </c>
      <c r="C6" s="15" t="s">
        <v>105</v>
      </c>
      <c r="D6" s="15"/>
      <c r="E6" s="15"/>
      <c r="F6" s="15"/>
      <c r="G6" s="15"/>
      <c r="H6" s="15"/>
      <c r="I6" s="15"/>
    </row>
    <row r="7" customFormat="false" ht="42" hidden="false" customHeight="true" outlineLevel="0" collapsed="false">
      <c r="A7" s="20" t="s">
        <v>104</v>
      </c>
      <c r="B7" s="21" t="s">
        <v>3</v>
      </c>
      <c r="C7" s="21" t="s">
        <v>105</v>
      </c>
      <c r="D7" s="22"/>
      <c r="E7" s="21"/>
      <c r="F7" s="23"/>
      <c r="G7" s="24"/>
      <c r="H7" s="21"/>
      <c r="I7" s="21"/>
    </row>
    <row r="8" customFormat="false" ht="30" hidden="false" customHeight="true" outlineLevel="0" collapsed="false">
      <c r="A8" s="25" t="s">
        <v>106</v>
      </c>
      <c r="B8" s="21" t="s">
        <v>3</v>
      </c>
      <c r="C8" s="24" t="s">
        <v>105</v>
      </c>
      <c r="D8" s="26"/>
      <c r="E8" s="24"/>
      <c r="F8" s="24"/>
      <c r="G8" s="24"/>
      <c r="H8" s="24"/>
      <c r="I8" s="24"/>
    </row>
    <row r="9" customFormat="false" ht="30" hidden="false" customHeight="true" outlineLevel="0" collapsed="false">
      <c r="A9" s="27" t="s">
        <v>107</v>
      </c>
      <c r="B9" s="28" t="s">
        <v>3</v>
      </c>
      <c r="C9" s="28" t="s">
        <v>105</v>
      </c>
      <c r="D9" s="29"/>
      <c r="E9" s="28"/>
      <c r="F9" s="28"/>
      <c r="G9" s="24"/>
      <c r="H9" s="28"/>
      <c r="I9" s="30"/>
    </row>
    <row r="10" customFormat="false" ht="30" hidden="false" customHeight="true" outlineLevel="0" collapsed="false">
      <c r="A10" s="28"/>
      <c r="B10" s="28"/>
      <c r="C10" s="28"/>
      <c r="D10" s="28"/>
      <c r="E10" s="28"/>
      <c r="F10" s="28"/>
      <c r="G10" s="28"/>
      <c r="H10" s="28"/>
      <c r="I10" s="28"/>
    </row>
    <row r="11" customFormat="false" ht="30" hidden="false" customHeight="true" outlineLevel="0" collapsed="false">
      <c r="A11" s="31"/>
      <c r="B11" s="31"/>
      <c r="C11" s="31"/>
      <c r="D11" s="31"/>
      <c r="E11" s="31"/>
      <c r="F11" s="31"/>
      <c r="G11" s="31"/>
      <c r="H11" s="31"/>
      <c r="I11" s="31"/>
    </row>
    <row r="12" customFormat="false" ht="30" hidden="false" customHeight="true" outlineLevel="0" collapsed="false">
      <c r="A12" s="28"/>
      <c r="B12" s="28"/>
      <c r="C12" s="28"/>
      <c r="D12" s="28"/>
      <c r="E12" s="28"/>
      <c r="F12" s="28"/>
      <c r="G12" s="28"/>
      <c r="H12" s="28"/>
      <c r="I12" s="28"/>
    </row>
    <row r="13" customFormat="false" ht="30" hidden="false" customHeight="true" outlineLevel="0" collapsed="false">
      <c r="A13" s="31"/>
      <c r="B13" s="31"/>
      <c r="C13" s="31"/>
      <c r="D13" s="31"/>
      <c r="E13" s="31"/>
      <c r="F13" s="31"/>
      <c r="G13" s="31"/>
      <c r="H13" s="31"/>
      <c r="I13" s="31"/>
    </row>
    <row r="14" customFormat="false" ht="30" hidden="false" customHeight="true" outlineLevel="0" collapsed="false">
      <c r="A14" s="28"/>
      <c r="B14" s="28"/>
      <c r="C14" s="28"/>
      <c r="D14" s="28"/>
      <c r="E14" s="28"/>
      <c r="F14" s="28"/>
      <c r="G14" s="28"/>
      <c r="H14" s="28"/>
      <c r="I14" s="28"/>
    </row>
    <row r="15" customFormat="false" ht="30" hidden="false" customHeight="true" outlineLevel="0" collapsed="false">
      <c r="A15" s="31"/>
      <c r="B15" s="31"/>
      <c r="C15" s="31"/>
      <c r="D15" s="31"/>
      <c r="E15" s="31"/>
      <c r="F15" s="31"/>
      <c r="G15" s="31"/>
      <c r="H15" s="31"/>
      <c r="I15" s="31"/>
    </row>
    <row r="16" customFormat="false" ht="30" hidden="false" customHeight="true" outlineLevel="0" collapsed="false">
      <c r="A16" s="28"/>
      <c r="B16" s="28"/>
      <c r="C16" s="28"/>
      <c r="D16" s="28"/>
      <c r="E16" s="28"/>
      <c r="F16" s="28"/>
      <c r="G16" s="28"/>
      <c r="H16" s="28"/>
      <c r="I16" s="28"/>
    </row>
    <row r="17" customFormat="false" ht="30" hidden="false" customHeight="true" outlineLevel="0" collapsed="false">
      <c r="A17" s="31"/>
      <c r="B17" s="31"/>
      <c r="C17" s="31"/>
      <c r="D17" s="31"/>
      <c r="E17" s="31"/>
      <c r="F17" s="31"/>
      <c r="G17" s="31"/>
      <c r="H17" s="31"/>
      <c r="I17" s="31"/>
    </row>
    <row r="18" customFormat="false" ht="30" hidden="false" customHeight="true" outlineLevel="0" collapsed="false">
      <c r="A18" s="28"/>
      <c r="B18" s="28"/>
      <c r="C18" s="28"/>
      <c r="D18" s="28"/>
      <c r="E18" s="28"/>
      <c r="F18" s="28"/>
      <c r="G18" s="28"/>
      <c r="H18" s="28"/>
      <c r="I18" s="28"/>
    </row>
    <row r="19" customFormat="false" ht="30" hidden="false" customHeight="true" outlineLevel="0" collapsed="false">
      <c r="A19" s="31"/>
      <c r="B19" s="31"/>
      <c r="C19" s="31"/>
      <c r="D19" s="31"/>
      <c r="E19" s="31"/>
      <c r="F19" s="31"/>
      <c r="G19" s="31"/>
      <c r="H19" s="31"/>
      <c r="I19" s="31"/>
    </row>
  </sheetData>
  <mergeCells count="2">
    <mergeCell ref="A1:I1"/>
    <mergeCell ref="A2:I2"/>
  </mergeCells>
  <conditionalFormatting sqref="B5:B19">
    <cfRule type="cellIs" priority="2" operator="equal" aboveAverage="0" equalAverage="0" bottom="0" percent="0" rank="0" text="" dxfId="0">
      <formula>"BUILD"</formula>
    </cfRule>
    <cfRule type="cellIs" priority="3" operator="equal" aboveAverage="0" equalAverage="0" bottom="0" percent="0" rank="0" text="" dxfId="1">
      <formula>"GROW"</formula>
    </cfRule>
    <cfRule type="cellIs" priority="4" operator="equal" aboveAverage="0" equalAverage="0" bottom="0" percent="0" rank="0" text="" dxfId="2">
      <formula>"LAUNCH"</formula>
    </cfRule>
  </conditionalFormatting>
  <dataValidations count="1">
    <dataValidation allowBlank="true" error="Pick a value from the list." errorStyle="stop" errorTitle="Choose from the list" operator="between" showDropDown="false" showErrorMessage="false" showInputMessage="false" sqref="B5:B19" type="list">
      <formula1>"BUILD,GROW,LAUNCH"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7" activeCellId="0" sqref="A7"/>
    </sheetView>
  </sheetViews>
  <sheetFormatPr defaultColWidth="8.5625" defaultRowHeight="14.25" zeroHeight="false" outlineLevelRow="0" outlineLevelCol="0"/>
  <cols>
    <col collapsed="false" customWidth="true" hidden="false" outlineLevel="0" max="1" min="1" style="1" width="12"/>
    <col collapsed="false" customWidth="true" hidden="false" outlineLevel="0" max="2" min="2" style="1" width="11"/>
    <col collapsed="false" customWidth="true" hidden="false" outlineLevel="0" max="3" min="3" style="1" width="16"/>
    <col collapsed="false" customWidth="true" hidden="false" outlineLevel="0" max="4" min="4" style="1" width="28"/>
    <col collapsed="false" customWidth="true" hidden="false" outlineLevel="0" max="5" min="5" style="1" width="24"/>
    <col collapsed="false" customWidth="true" hidden="false" outlineLevel="0" max="6" min="6" style="1" width="9"/>
    <col collapsed="false" customWidth="true" hidden="false" outlineLevel="0" max="7" min="7" style="1" width="24"/>
    <col collapsed="false" customWidth="true" hidden="false" outlineLevel="0" max="8" min="8" style="1" width="18"/>
    <col collapsed="false" customWidth="true" hidden="false" outlineLevel="0" max="9" min="9" style="1" width="26"/>
  </cols>
  <sheetData>
    <row r="1" customFormat="false" ht="25.5" hidden="false" customHeight="true" outlineLevel="0" collapsed="false">
      <c r="A1" s="19" t="s">
        <v>108</v>
      </c>
      <c r="B1" s="19"/>
      <c r="C1" s="19"/>
      <c r="D1" s="19"/>
      <c r="E1" s="19"/>
      <c r="F1" s="19"/>
      <c r="G1" s="19"/>
      <c r="H1" s="19"/>
      <c r="I1" s="19"/>
    </row>
    <row r="2" customFormat="false" ht="14.25" hidden="false" customHeight="true" outlineLevel="0" collapsed="false">
      <c r="A2" s="32" t="s">
        <v>109</v>
      </c>
      <c r="B2" s="32"/>
      <c r="C2" s="32"/>
      <c r="D2" s="32"/>
      <c r="E2" s="32"/>
      <c r="F2" s="32"/>
      <c r="G2" s="32"/>
      <c r="H2" s="32"/>
      <c r="I2" s="32"/>
    </row>
    <row r="3" customFormat="false" ht="18" hidden="false" customHeight="true" outlineLevel="0" collapsed="false">
      <c r="A3" s="33" t="s">
        <v>110</v>
      </c>
      <c r="B3" s="34" t="s">
        <v>111</v>
      </c>
      <c r="C3" s="34"/>
      <c r="D3" s="35" t="s">
        <v>112</v>
      </c>
      <c r="E3" s="34" t="s">
        <v>113</v>
      </c>
      <c r="F3" s="34"/>
      <c r="G3" s="36" t="s">
        <v>114</v>
      </c>
      <c r="H3" s="34" t="s">
        <v>115</v>
      </c>
      <c r="I3" s="34"/>
    </row>
    <row r="5" customFormat="false" ht="27.75" hidden="false" customHeight="true" outlineLevel="0" collapsed="false">
      <c r="A5" s="9" t="s">
        <v>116</v>
      </c>
      <c r="B5" s="9" t="s">
        <v>2</v>
      </c>
      <c r="C5" s="9" t="s">
        <v>13</v>
      </c>
      <c r="D5" s="9" t="s">
        <v>117</v>
      </c>
      <c r="E5" s="9" t="s">
        <v>118</v>
      </c>
      <c r="F5" s="9" t="s">
        <v>119</v>
      </c>
      <c r="G5" s="9" t="s">
        <v>120</v>
      </c>
      <c r="H5" s="9" t="s">
        <v>121</v>
      </c>
      <c r="I5" s="9" t="s">
        <v>122</v>
      </c>
    </row>
    <row r="6" customFormat="false" ht="30" hidden="false" customHeight="true" outlineLevel="0" collapsed="false">
      <c r="A6" s="37" t="n">
        <v>46273</v>
      </c>
      <c r="B6" s="13" t="s">
        <v>3</v>
      </c>
      <c r="C6" s="38" t="s">
        <v>23</v>
      </c>
      <c r="D6" s="11" t="s">
        <v>123</v>
      </c>
      <c r="E6" s="28"/>
      <c r="F6" s="39"/>
      <c r="G6" s="28"/>
      <c r="H6" s="39"/>
      <c r="I6" s="28"/>
    </row>
    <row r="7" customFormat="false" ht="30" hidden="false" customHeight="true" outlineLevel="0" collapsed="false">
      <c r="A7" s="37" t="n">
        <v>46272</v>
      </c>
      <c r="B7" s="13" t="s">
        <v>3</v>
      </c>
      <c r="C7" s="28" t="s">
        <v>33</v>
      </c>
      <c r="D7" s="15" t="s">
        <v>35</v>
      </c>
      <c r="E7" s="28"/>
      <c r="F7" s="39"/>
      <c r="G7" s="28"/>
      <c r="H7" s="39"/>
      <c r="I7" s="28"/>
    </row>
    <row r="8" customFormat="false" ht="30" hidden="false" customHeight="true" outlineLevel="0" collapsed="false">
      <c r="A8" s="37" t="n">
        <v>46272</v>
      </c>
      <c r="B8" s="13" t="s">
        <v>3</v>
      </c>
      <c r="C8" s="13" t="s">
        <v>42</v>
      </c>
      <c r="D8" s="13" t="s">
        <v>124</v>
      </c>
      <c r="E8" s="13"/>
      <c r="F8" s="13"/>
      <c r="G8" s="13"/>
      <c r="H8" s="13"/>
      <c r="I8" s="13"/>
    </row>
    <row r="9" customFormat="false" ht="30" hidden="false" customHeight="true" outlineLevel="0" collapsed="false">
      <c r="A9" s="37" t="n">
        <v>46272</v>
      </c>
      <c r="B9" s="13" t="s">
        <v>3</v>
      </c>
      <c r="C9" s="13" t="s">
        <v>51</v>
      </c>
      <c r="D9" s="13" t="s">
        <v>53</v>
      </c>
      <c r="E9" s="13"/>
      <c r="F9" s="13"/>
      <c r="G9" s="13"/>
      <c r="H9" s="13"/>
      <c r="I9" s="13"/>
    </row>
    <row r="10" customFormat="false" ht="30" hidden="false" customHeight="true" outlineLevel="0" collapsed="false">
      <c r="A10" s="37" t="n">
        <v>46272</v>
      </c>
      <c r="B10" s="13" t="s">
        <v>3</v>
      </c>
      <c r="C10" s="13" t="s">
        <v>69</v>
      </c>
      <c r="D10" s="13" t="s">
        <v>71</v>
      </c>
      <c r="E10" s="13"/>
      <c r="F10" s="13"/>
      <c r="G10" s="13"/>
      <c r="H10" s="13"/>
      <c r="I10" s="13"/>
    </row>
    <row r="11" customFormat="false" ht="30" hidden="false" customHeight="true" outlineLevel="0" collapsed="false">
      <c r="A11" s="37" t="n">
        <v>46272</v>
      </c>
      <c r="B11" s="13" t="s">
        <v>3</v>
      </c>
      <c r="C11" s="13" t="s">
        <v>78</v>
      </c>
      <c r="D11" s="13" t="s">
        <v>80</v>
      </c>
      <c r="E11" s="13"/>
      <c r="F11" s="13"/>
      <c r="G11" s="13"/>
      <c r="H11" s="13"/>
      <c r="I11" s="13"/>
    </row>
    <row r="12" customFormat="false" ht="30" hidden="false" customHeight="true" outlineLevel="0" collapsed="false">
      <c r="A12" s="37" t="n">
        <v>46272</v>
      </c>
      <c r="B12" s="13" t="s">
        <v>3</v>
      </c>
      <c r="C12" s="38" t="s">
        <v>60</v>
      </c>
      <c r="D12" s="13" t="s">
        <v>62</v>
      </c>
      <c r="E12" s="31"/>
      <c r="F12" s="31"/>
      <c r="G12" s="31"/>
      <c r="H12" s="31"/>
      <c r="I12" s="31"/>
    </row>
    <row r="13" customFormat="false" ht="30" hidden="false" customHeight="true" outlineLevel="0" collapsed="false">
      <c r="A13" s="31"/>
      <c r="B13" s="31"/>
      <c r="C13" s="38"/>
      <c r="D13" s="31"/>
      <c r="E13" s="31"/>
      <c r="F13" s="31"/>
      <c r="G13" s="31"/>
      <c r="H13" s="31"/>
      <c r="I13" s="31"/>
    </row>
    <row r="14" customFormat="false" ht="30" hidden="false" customHeight="true" outlineLevel="0" collapsed="false">
      <c r="A14" s="28"/>
      <c r="B14" s="39"/>
      <c r="C14" s="28"/>
      <c r="D14" s="28"/>
      <c r="E14" s="28"/>
      <c r="F14" s="39"/>
      <c r="G14" s="28"/>
      <c r="H14" s="39"/>
      <c r="I14" s="28"/>
    </row>
    <row r="15" customFormat="false" ht="25.5" hidden="false" customHeight="true" outlineLevel="0" collapsed="false">
      <c r="A15" s="31"/>
      <c r="B15" s="31"/>
      <c r="C15" s="38"/>
      <c r="D15" s="31"/>
      <c r="E15" s="31"/>
      <c r="F15" s="31"/>
      <c r="G15" s="31"/>
      <c r="H15" s="31"/>
      <c r="I15" s="31"/>
    </row>
    <row r="16" customFormat="false" ht="25.5" hidden="false" customHeight="true" outlineLevel="0" collapsed="false">
      <c r="A16" s="28"/>
      <c r="B16" s="39"/>
      <c r="C16" s="28"/>
      <c r="D16" s="28"/>
      <c r="E16" s="28"/>
      <c r="F16" s="39"/>
      <c r="G16" s="28"/>
      <c r="H16" s="39"/>
      <c r="I16" s="28"/>
    </row>
    <row r="17" customFormat="false" ht="25.5" hidden="false" customHeight="true" outlineLevel="0" collapsed="false">
      <c r="A17" s="31"/>
      <c r="B17" s="31"/>
      <c r="C17" s="38"/>
      <c r="D17" s="31"/>
      <c r="E17" s="31"/>
      <c r="F17" s="31"/>
      <c r="G17" s="31"/>
      <c r="H17" s="31"/>
      <c r="I17" s="31"/>
    </row>
    <row r="18" customFormat="false" ht="25.5" hidden="false" customHeight="true" outlineLevel="0" collapsed="false">
      <c r="A18" s="28"/>
      <c r="B18" s="39"/>
      <c r="C18" s="28"/>
      <c r="D18" s="28"/>
      <c r="E18" s="28"/>
      <c r="F18" s="39"/>
      <c r="G18" s="28"/>
      <c r="H18" s="39"/>
      <c r="I18" s="28"/>
    </row>
    <row r="19" customFormat="false" ht="25.5" hidden="false" customHeight="true" outlineLevel="0" collapsed="false">
      <c r="A19" s="31"/>
      <c r="B19" s="31"/>
      <c r="C19" s="38"/>
      <c r="D19" s="31"/>
      <c r="E19" s="31"/>
      <c r="F19" s="31"/>
      <c r="G19" s="31"/>
      <c r="H19" s="31"/>
      <c r="I19" s="31"/>
    </row>
    <row r="20" customFormat="false" ht="25.5" hidden="false" customHeight="true" outlineLevel="0" collapsed="false">
      <c r="A20" s="28"/>
      <c r="B20" s="39"/>
      <c r="C20" s="28"/>
      <c r="D20" s="28"/>
      <c r="E20" s="28"/>
      <c r="F20" s="39"/>
      <c r="G20" s="28"/>
      <c r="H20" s="39"/>
      <c r="I20" s="28"/>
    </row>
    <row r="21" customFormat="false" ht="25.5" hidden="false" customHeight="true" outlineLevel="0" collapsed="false">
      <c r="A21" s="31"/>
      <c r="B21" s="31"/>
      <c r="C21" s="38"/>
      <c r="D21" s="31"/>
      <c r="E21" s="31"/>
      <c r="F21" s="31"/>
      <c r="G21" s="31"/>
      <c r="H21" s="31"/>
      <c r="I21" s="31"/>
    </row>
    <row r="22" customFormat="false" ht="25.5" hidden="false" customHeight="true" outlineLevel="0" collapsed="false"/>
    <row r="23" customFormat="false" ht="25.5" hidden="false" customHeight="true" outlineLevel="0" collapsed="false">
      <c r="C23" s="40" t="s">
        <v>125</v>
      </c>
      <c r="D23" s="41" t="n">
        <f aca="false">COUNTIF($F$8:$F$18,"Green")</f>
        <v>0</v>
      </c>
      <c r="E23" s="42" t="n">
        <f aca="false">COUNTIF($F$8:$F$18,"Amber")</f>
        <v>0</v>
      </c>
      <c r="F23" s="43" t="n">
        <f aca="false">COUNTIF($F$8:$F$18,"Red")</f>
        <v>0</v>
      </c>
    </row>
    <row r="24" customFormat="false" ht="25.5" hidden="false" customHeight="true" outlineLevel="0" collapsed="false">
      <c r="D24" s="44" t="s">
        <v>126</v>
      </c>
      <c r="E24" s="44" t="s">
        <v>127</v>
      </c>
      <c r="F24" s="44" t="s">
        <v>128</v>
      </c>
    </row>
    <row r="25" customFormat="false" ht="25.5" hidden="false" customHeight="true" outlineLevel="0" collapsed="false"/>
    <row r="26" customFormat="false" ht="25.5" hidden="false" customHeight="true" outlineLevel="0" collapsed="false"/>
    <row r="27" customFormat="false" ht="15" hidden="false" customHeight="true" outlineLevel="0" collapsed="false"/>
    <row r="28" customFormat="false" ht="15" hidden="false" customHeight="true" outlineLevel="0" collapsed="false"/>
  </sheetData>
  <mergeCells count="5">
    <mergeCell ref="A1:I1"/>
    <mergeCell ref="A2:I2"/>
    <mergeCell ref="B3:C3"/>
    <mergeCell ref="E3:F3"/>
    <mergeCell ref="H3:I3"/>
  </mergeCells>
  <conditionalFormatting sqref="F6:F26">
    <cfRule type="cellIs" priority="2" operator="equal" aboveAverage="0" equalAverage="0" bottom="0" percent="0" rank="0" text="" dxfId="0">
      <formula>"Green"</formula>
    </cfRule>
    <cfRule type="cellIs" priority="3" operator="equal" aboveAverage="0" equalAverage="0" bottom="0" percent="0" rank="0" text="" dxfId="3">
      <formula>"Amber"</formula>
    </cfRule>
    <cfRule type="cellIs" priority="4" operator="equal" aboveAverage="0" equalAverage="0" bottom="0" percent="0" rank="0" text="" dxfId="4">
      <formula>"Red"</formula>
    </cfRule>
  </conditionalFormatting>
  <dataValidations count="4">
    <dataValidation allowBlank="true" error="Pick a value from the list." errorStyle="stop" errorTitle="Choose from the list" operator="between" showDropDown="false" showErrorMessage="false" showInputMessage="false" sqref="B6:B26" type="list">
      <formula1>"BUILD,GROW,LAUNCH"</formula1>
      <formula2>0</formula2>
    </dataValidation>
    <dataValidation allowBlank="true" error="Pick a value from the list." errorStyle="stop" errorTitle="Choose from the list" operator="between" showDropDown="false" showErrorMessage="false" showInputMessage="false" sqref="C6:C26"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F6:F26" type="list">
      <formula1>"Green,Amber,Red"</formula1>
      <formula2>0</formula2>
    </dataValidation>
    <dataValidation allowBlank="true" error="Pick a value from the list." errorStyle="stop" errorTitle="Choose from the list" operator="between" showDropDown="false" showErrorMessage="false" showInputMessage="false" sqref="H6:H26" type="list">
      <formula1>"Achieved (move on),Revisit in class,Intervention"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2026-06-22T07:46:21Z</dcterms:created>
  <dc:creator>openpyxl</dc:creator>
  <dc:description/>
  <dc:language>en-US</dc:language>
  <cp:lastModifiedBy>Helen Stewart</cp:lastModifiedBy>
  <dcterms:modified xsi:type="dcterms:W3CDTF">2026-07-15T11:04:51Z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0x0101002C6E38C4B2056147BFEE88C7F682B392</vt:lpwstr>
  </property>
  <property fmtid="{D5CDD505-2E9C-101B-9397-08002B2CF9AE}" pid="3" name="MediaServiceImageTags">
    <vt:lpwstr/>
  </property>
</Properties>
</file>