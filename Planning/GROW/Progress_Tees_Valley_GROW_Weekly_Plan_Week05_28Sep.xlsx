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mm\-yy"/>
  </numFmts>
  <fonts count="2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color rgb="FF566159"/>
      <sz val="10"/>
    </font>
    <font>
      <name val="Arial"/>
      <charset val="1"/>
      <family val="0"/>
      <b val="1"/>
      <color rgb="FF566159"/>
      <sz val="9"/>
    </font>
    <font>
      <name val="Arial"/>
      <charset val="1"/>
      <family val="0"/>
      <b val="1"/>
      <color rgb="FF1B2420"/>
      <sz val="10"/>
    </font>
    <font>
      <name val="Arial"/>
      <charset val="1"/>
      <family val="0"/>
      <b val="1"/>
      <color rgb="FF2E7D4F"/>
      <sz val="10"/>
    </font>
    <font>
      <name val="Arial"/>
      <charset val="1"/>
      <family val="0"/>
      <color rgb="FF2E2A5D"/>
      <sz val="9"/>
    </font>
    <font>
      <name val="Arial"/>
      <charset val="1"/>
      <family val="0"/>
      <b val="1"/>
      <color rgb="FFFFFFFF"/>
      <sz val="9"/>
    </font>
    <font>
      <name val="Arial"/>
      <charset val="1"/>
      <family val="0"/>
      <b val="1"/>
      <color rgb="FF1B2420"/>
      <sz val="9"/>
    </font>
    <font>
      <name val="Arial"/>
      <charset val="1"/>
      <family val="2"/>
      <color rgb="FF000000"/>
      <sz val="9"/>
    </font>
    <font>
      <name val="Aptos"/>
      <charset val="1"/>
      <family val="2"/>
      <color rgb="FF000000"/>
      <sz val="10"/>
    </font>
    <font>
      <name val="Arial"/>
      <charset val="1"/>
      <family val="0"/>
      <color rgb="FF1B2420"/>
      <sz val="9"/>
    </font>
    <font>
      <name val="Arial"/>
      <charset val="1"/>
      <family val="2"/>
      <color theme="1"/>
      <sz val="9"/>
    </font>
    <font>
      <name val="Aptos"/>
      <charset val="1"/>
      <family val="2"/>
      <color rgb="FF222222"/>
      <sz val="9"/>
    </font>
    <font>
      <name val="Arial"/>
      <charset val="1"/>
      <family val="2"/>
      <color rgb="FF1B2420"/>
      <sz val="9"/>
    </font>
    <font>
      <name val="Arial"/>
      <charset val="1"/>
      <family val="0"/>
      <i val="1"/>
      <color rgb="FF566159"/>
      <sz val="8"/>
    </font>
    <font>
      <name val="Arial"/>
      <charset val="1"/>
      <family val="0"/>
      <b val="1"/>
      <color rgb="FFFFFFFF"/>
      <sz val="16"/>
    </font>
    <font>
      <name val="Arial"/>
      <charset val="1"/>
      <family val="0"/>
      <color theme="1"/>
      <sz val="9"/>
    </font>
    <font>
      <name val="Calibri"/>
      <charset val="1"/>
      <family val="2"/>
      <b val="1"/>
      <color theme="1"/>
      <sz val="11"/>
    </font>
    <font>
      <name val="Arial"/>
      <charset val="1"/>
      <family val="2"/>
      <b val="1"/>
      <color rgb="FFFFFFFF"/>
      <sz val="16"/>
    </font>
    <font>
      <name val="Arial"/>
      <charset val="1"/>
      <family val="2"/>
      <sz val="10"/>
    </font>
    <font>
      <name val="Arial"/>
      <charset val="1"/>
      <family val="2"/>
      <sz val="9"/>
    </font>
    <font>
      <name val="Arial"/>
      <charset val="1"/>
      <family val="0"/>
      <b val="1"/>
      <color rgb="FFFFFFFF"/>
      <sz val="10"/>
    </font>
    <font>
      <name val="Arial"/>
      <charset val="1"/>
      <family val="0"/>
      <color rgb="FF566159"/>
      <sz val="8"/>
    </font>
  </fonts>
  <fills count="10">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3">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style="thin">
        <color rgb="FFC3CDC1"/>
      </bottom>
      <diagonal/>
    </border>
    <border>
      <left style="thin"/>
      <right style="thin"/>
      <top style="thin"/>
      <bottom style="thin"/>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4" applyAlignment="1" pivotButton="0" quotePrefix="0" xfId="0">
      <alignment horizontal="general" vertical="bottom" wrapText="1"/>
    </xf>
    <xf numFmtId="0" fontId="14"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6" fillId="5" borderId="4" applyAlignment="1" pivotButton="0" quotePrefix="0" xfId="0">
      <alignment horizontal="left" vertical="top" wrapText="1"/>
    </xf>
    <xf numFmtId="0" fontId="17" fillId="5" borderId="3" applyAlignment="1" pivotButton="0" quotePrefix="0" xfId="0">
      <alignment horizontal="left" vertical="center" wrapText="1"/>
    </xf>
    <xf numFmtId="0" fontId="10" fillId="2" borderId="0" applyAlignment="1" pivotButton="0" quotePrefix="0" xfId="0">
      <alignment horizontal="left" vertical="center"/>
    </xf>
    <xf numFmtId="0" fontId="14" fillId="6" borderId="3" applyAlignment="1" pivotButton="0" quotePrefix="0" xfId="0">
      <alignment horizontal="general" vertical="top" wrapText="1"/>
    </xf>
    <xf numFmtId="0" fontId="17" fillId="6" borderId="3" applyAlignment="1" pivotButton="0" quotePrefix="0" xfId="0">
      <alignment horizontal="general" vertical="top" wrapText="1"/>
    </xf>
    <xf numFmtId="0" fontId="18" fillId="0" borderId="0" applyAlignment="1" pivotButton="0" quotePrefix="0" xfId="0">
      <alignment horizontal="left" vertical="center"/>
    </xf>
    <xf numFmtId="0" fontId="19" fillId="2" borderId="0" applyAlignment="1" pivotButton="0" quotePrefix="0" xfId="0">
      <alignment horizontal="left" vertical="center"/>
    </xf>
    <xf numFmtId="49" fontId="14" fillId="5" borderId="3" applyAlignment="1" pivotButton="0" quotePrefix="0" xfId="0">
      <alignment horizontal="left" vertical="center" wrapText="1"/>
    </xf>
    <xf numFmtId="0" fontId="20" fillId="0" borderId="0" applyAlignment="1" pivotButton="0" quotePrefix="0" xfId="0">
      <alignment horizontal="general" vertical="bottom" wrapText="1"/>
    </xf>
    <xf numFmtId="49" fontId="14" fillId="6" borderId="3" applyAlignment="1" pivotButton="0" quotePrefix="0" xfId="0">
      <alignment horizontal="left" vertical="center" wrapText="1"/>
    </xf>
    <xf numFmtId="0" fontId="21" fillId="6" borderId="3" applyAlignment="1" pivotButton="0" quotePrefix="0" xfId="0">
      <alignment horizontal="left" vertical="center" wrapText="1"/>
    </xf>
    <xf numFmtId="0" fontId="0" fillId="6" borderId="3" applyAlignment="1" pivotButton="0" quotePrefix="0" xfId="0">
      <alignment horizontal="left" vertical="center" wrapText="1"/>
    </xf>
    <xf numFmtId="49" fontId="0" fillId="6" borderId="3" applyAlignment="1" pivotButton="0" quotePrefix="0" xfId="0">
      <alignment horizontal="left" vertical="center" wrapText="1"/>
    </xf>
    <xf numFmtId="0" fontId="0" fillId="0" borderId="0" applyAlignment="1" pivotButton="0" quotePrefix="0" xfId="0">
      <alignment horizontal="general"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0" fontId="22" fillId="2" borderId="0" applyAlignment="1" pivotButton="0" quotePrefix="0" xfId="0">
      <alignment horizontal="left" vertical="center"/>
    </xf>
    <xf numFmtId="0" fontId="23" fillId="0" borderId="0" applyAlignment="1" pivotButton="0" quotePrefix="0" xfId="0">
      <alignment horizontal="left" vertical="center"/>
    </xf>
    <xf numFmtId="0" fontId="10" fillId="7" borderId="0" applyAlignment="1" pivotButton="0" quotePrefix="0" xfId="0">
      <alignment horizontal="center" vertical="center"/>
    </xf>
    <xf numFmtId="0" fontId="24"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0" fillId="5" borderId="3" applyAlignment="1" pivotButton="0" quotePrefix="0" xfId="0">
      <alignment horizontal="left" vertical="center" wrapText="1"/>
    </xf>
    <xf numFmtId="0" fontId="6" fillId="0" borderId="0" applyAlignment="1" pivotButton="0" quotePrefix="0" xfId="0">
      <alignment horizontal="general" vertical="bottom"/>
    </xf>
    <xf numFmtId="0" fontId="25" fillId="7" borderId="0" applyAlignment="1" pivotButton="0" quotePrefix="0" xfId="0">
      <alignment horizontal="center" vertical="center"/>
    </xf>
    <xf numFmtId="0" fontId="25" fillId="8" borderId="0" applyAlignment="1" pivotButton="0" quotePrefix="0" xfId="0">
      <alignment horizontal="center" vertical="center"/>
    </xf>
    <xf numFmtId="0" fontId="25" fillId="9" borderId="0" applyAlignment="1" pivotButton="0" quotePrefix="0" xfId="0">
      <alignment horizontal="center" vertical="center"/>
    </xf>
    <xf numFmtId="0" fontId="26"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7" pivotButton="0" quotePrefix="0" xfId="0"/>
    <xf numFmtId="0" fontId="0" fillId="0" borderId="8" pivotButton="0" quotePrefix="0" xfId="0"/>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4" applyAlignment="1" pivotButton="0" quotePrefix="0" xfId="0">
      <alignment horizontal="general" vertical="bottom" wrapText="1"/>
    </xf>
    <xf numFmtId="0" fontId="14"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6" fillId="5" borderId="4" applyAlignment="1" pivotButton="0" quotePrefix="0" xfId="0">
      <alignment horizontal="left" vertical="top" wrapText="1"/>
    </xf>
    <xf numFmtId="0" fontId="17" fillId="5" borderId="3" applyAlignment="1" pivotButton="0" quotePrefix="0" xfId="0">
      <alignment horizontal="left" vertical="center" wrapText="1"/>
    </xf>
    <xf numFmtId="0" fontId="10" fillId="2" borderId="0" applyAlignment="1" pivotButton="0" quotePrefix="0" xfId="0">
      <alignment horizontal="left" vertical="center"/>
    </xf>
    <xf numFmtId="0" fontId="14" fillId="6" borderId="3" applyAlignment="1" pivotButton="0" quotePrefix="0" xfId="0">
      <alignment horizontal="general" vertical="top" wrapText="1"/>
    </xf>
    <xf numFmtId="0" fontId="0" fillId="0" borderId="11" pivotButton="0" quotePrefix="0" xfId="0"/>
    <xf numFmtId="0" fontId="0" fillId="0" borderId="12" pivotButton="0" quotePrefix="0" xfId="0"/>
    <xf numFmtId="0" fontId="17" fillId="6" borderId="3" applyAlignment="1" pivotButton="0" quotePrefix="0" xfId="0">
      <alignment horizontal="general" vertical="top" wrapText="1"/>
    </xf>
    <xf numFmtId="0" fontId="18" fillId="0" borderId="0" applyAlignment="1" pivotButton="0" quotePrefix="0" xfId="0">
      <alignment horizontal="left" vertical="center"/>
    </xf>
    <xf numFmtId="0" fontId="19" fillId="2" borderId="0" applyAlignment="1" pivotButton="0" quotePrefix="0" xfId="0">
      <alignment horizontal="left" vertical="center"/>
    </xf>
    <xf numFmtId="49" fontId="14" fillId="5" borderId="3" applyAlignment="1" pivotButton="0" quotePrefix="0" xfId="0">
      <alignment horizontal="left" vertical="center" wrapText="1"/>
    </xf>
    <xf numFmtId="0" fontId="20" fillId="0" borderId="0" applyAlignment="1" pivotButton="0" quotePrefix="0" xfId="0">
      <alignment horizontal="general" vertical="bottom" wrapText="1"/>
    </xf>
    <xf numFmtId="49" fontId="14" fillId="6" borderId="3" applyAlignment="1" pivotButton="0" quotePrefix="0" xfId="0">
      <alignment horizontal="left" vertical="center" wrapText="1"/>
    </xf>
    <xf numFmtId="0" fontId="21" fillId="6" borderId="3" applyAlignment="1" pivotButton="0" quotePrefix="0" xfId="0">
      <alignment horizontal="left" vertical="center" wrapText="1"/>
    </xf>
    <xf numFmtId="0" fontId="0" fillId="6" borderId="3" applyAlignment="1" pivotButton="0" quotePrefix="0" xfId="0">
      <alignment horizontal="left" vertical="center" wrapText="1"/>
    </xf>
    <xf numFmtId="49" fontId="0" fillId="6" borderId="3" applyAlignment="1" pivotButton="0" quotePrefix="0" xfId="0">
      <alignment horizontal="left" vertical="center" wrapText="1"/>
    </xf>
    <xf numFmtId="0" fontId="0" fillId="0" borderId="0" applyAlignment="1" pivotButton="0" quotePrefix="0" xfId="0">
      <alignment horizontal="general" vertical="center" wrapText="1"/>
    </xf>
    <xf numFmtId="0" fontId="0" fillId="5" borderId="3" applyAlignment="1" pivotButton="0" quotePrefix="0" xfId="0">
      <alignment horizontal="left" vertical="center" wrapText="1"/>
    </xf>
    <xf numFmtId="0" fontId="22" fillId="2" borderId="0" applyAlignment="1" pivotButton="0" quotePrefix="0" xfId="0">
      <alignment horizontal="left" vertical="center"/>
    </xf>
    <xf numFmtId="0" fontId="23" fillId="0" borderId="0" applyAlignment="1" pivotButton="0" quotePrefix="0" xfId="0">
      <alignment horizontal="left" vertical="center"/>
    </xf>
    <xf numFmtId="0" fontId="10" fillId="7" borderId="0" applyAlignment="1" pivotButton="0" quotePrefix="0" xfId="0">
      <alignment horizontal="center" vertical="center"/>
    </xf>
    <xf numFmtId="0" fontId="24"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6" fillId="0" borderId="0" applyAlignment="1" pivotButton="0" quotePrefix="0" xfId="0">
      <alignment horizontal="general" vertical="bottom"/>
    </xf>
    <xf numFmtId="0" fontId="25" fillId="7" borderId="0" applyAlignment="1" pivotButton="0" quotePrefix="0" xfId="0">
      <alignment horizontal="center" vertical="center"/>
    </xf>
    <xf numFmtId="0" fontId="25" fillId="8" borderId="0" applyAlignment="1" pivotButton="0" quotePrefix="0" xfId="0">
      <alignment horizontal="center" vertical="center"/>
    </xf>
    <xf numFmtId="0" fontId="25" fillId="9" borderId="0" applyAlignment="1" pivotButton="0" quotePrefix="0" xfId="0">
      <alignment horizontal="center" vertical="center"/>
    </xf>
    <xf numFmtId="0" fontId="26"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24"/>
  <sheetViews>
    <sheetView showFormulas="0" showGridLines="0" showRowColHeaders="1" showZeros="1" rightToLeft="0" tabSelected="1" showOutlineSymbols="1" defaultGridColor="1" view="normal" topLeftCell="A1" colorId="64" zoomScale="100" zoomScaleNormal="100" zoomScalePageLayoutView="100" workbookViewId="0">
      <pane xSplit="0" ySplit="9" topLeftCell="C13" activePane="bottomLeft" state="frozen"/>
      <selection pane="topLeft" activeCell="A1" activeCellId="0" sqref="A1"/>
      <selection pane="bottomLeft" activeCell="J10" activeCellId="0" sqref="J10"/>
    </sheetView>
  </sheetViews>
  <sheetFormatPr baseColWidth="8" defaultColWidth="8.5703125" defaultRowHeight="14.25" zeroHeight="0" outlineLevelRow="0"/>
  <cols>
    <col width="18" customWidth="1" style="46" min="1" max="1"/>
    <col width="20" customWidth="1" style="46" min="2" max="2"/>
    <col width="26" customWidth="1" style="46" min="3" max="4"/>
    <col width="16" customWidth="1" style="46" min="5" max="5"/>
    <col width="20" customWidth="1" style="46" min="6" max="6"/>
    <col width="10" customWidth="1" style="46" min="7" max="7"/>
    <col width="26" customWidth="1" style="46" min="8" max="8"/>
    <col width="22" customWidth="1" style="46" min="9" max="10"/>
  </cols>
  <sheetData>
    <row r="1" ht="30" customHeight="1" s="47">
      <c r="A1" s="48" t="inlineStr">
        <is>
          <t>Weekly Planner - To be submitted to Head of School prior to the start of each Half-Term</t>
        </is>
      </c>
    </row>
    <row r="2" ht="14.25" customHeight="1" s="47">
      <c r="A2" s="49" t="inlineStr">
        <is>
          <t>Progress Schools  ·  linked to the 2026/27 Schemes of Work</t>
        </is>
      </c>
    </row>
    <row r="3"/>
    <row r="4" ht="19.5" customHeight="1" s="47">
      <c r="A4" s="50" t="inlineStr">
        <is>
          <t>Pathway</t>
        </is>
      </c>
      <c r="B4" s="51" t="inlineStr">
        <is>
          <t>GROW</t>
        </is>
      </c>
      <c r="D4" s="46" t="n">
        <v>5</v>
      </c>
      <c r="F4" s="50" t="inlineStr">
        <is>
          <t>Week no.</t>
        </is>
      </c>
      <c r="G4" s="51" t="n">
        <v>5</v>
      </c>
    </row>
    <row r="5" ht="19.5" customHeight="1" s="47">
      <c r="A5" s="50" t="inlineStr">
        <is>
          <t>Term</t>
        </is>
      </c>
      <c r="B5" s="51" t="inlineStr">
        <is>
          <t>Autumn</t>
        </is>
      </c>
      <c r="F5" s="50" t="inlineStr">
        <is>
          <t>Group / class</t>
        </is>
      </c>
      <c r="G5" s="51" t="n"/>
    </row>
    <row r="6" ht="19.5" customHeight="1" s="47">
      <c r="A6" s="50" t="inlineStr">
        <is>
          <t>Theme</t>
        </is>
      </c>
      <c r="B6" s="52">
        <f>IF(B5="Autumn","Identity &amp; Belonging",IF(B5="Spring","Resilience &amp; Change",IF(B5="Summer","Our World, My Future","pick a term")))</f>
        <v/>
      </c>
      <c r="C6" s="53" t="n"/>
      <c r="D6" s="53" t="n"/>
      <c r="F6" s="50" t="inlineStr">
        <is>
          <t>Teacher</t>
        </is>
      </c>
      <c r="G6" s="51" t="n"/>
    </row>
    <row r="7" ht="19.5" customHeight="1" s="47">
      <c r="A7" s="50" t="inlineStr">
        <is>
          <t>Week commencing</t>
        </is>
      </c>
      <c r="B7" s="54" t="n">
        <v>46293</v>
      </c>
      <c r="F7" s="50" t="inlineStr">
        <is>
          <t>Reviewed by</t>
        </is>
      </c>
      <c r="G7" s="51" t="n"/>
    </row>
    <row r="8" ht="45.75" customHeight="1" s="47">
      <c r="A8" s="55" t="inlineStr">
        <is>
          <t>SMSC/BV this week: Black History Month launches (Thu 1 Oct, runs to W8) — Grow Humanities' Black British history/migration work carries it; PSHE's stereotype work lands next week.  National Poetry Day Thu 1 Oct (tbc).  EVIDENCE: display + evidence platform: cultural; log the BHM launch → log in the SMSC Evidence Tracker.</t>
        </is>
      </c>
      <c r="B8" s="56" t="n"/>
      <c r="C8" s="56" t="n"/>
      <c r="D8" s="56" t="n"/>
      <c r="E8" s="56" t="n"/>
      <c r="F8" s="56" t="n"/>
      <c r="G8" s="56" t="n"/>
      <c r="H8" s="56" t="n"/>
      <c r="I8" s="56" t="n"/>
      <c r="J8" s="57" t="n"/>
    </row>
    <row r="9" ht="30" customHeight="1" s="47">
      <c r="A9" s="58" t="inlineStr">
        <is>
          <t>Subject</t>
        </is>
      </c>
      <c r="B9" s="58" t="inlineStr">
        <is>
          <t>SoW unit (this term)</t>
        </is>
      </c>
      <c r="C9" s="58" t="inlineStr">
        <is>
          <t>This week's outcome</t>
        </is>
      </c>
      <c r="D9" s="58" t="inlineStr">
        <is>
          <t>Activities</t>
        </is>
      </c>
      <c r="E9" s="58" t="inlineStr">
        <is>
          <t>Key vocabulary</t>
        </is>
      </c>
      <c r="F9" s="58" t="inlineStr">
        <is>
          <t>Resources required</t>
        </is>
      </c>
      <c r="G9" s="58" t="inlineStr">
        <is>
          <t>Assess. (F/S)</t>
        </is>
      </c>
      <c r="H9" s="58" t="inlineStr">
        <is>
          <t>Student adaptations</t>
        </is>
      </c>
      <c r="I9" s="58" t="inlineStr">
        <is>
          <t>Classroom support</t>
        </is>
      </c>
      <c r="J9" s="58" t="inlineStr">
        <is>
          <t>Evaluation (after teaching)</t>
        </is>
      </c>
    </row>
    <row r="10" ht="330" customHeight="1" s="47">
      <c r="A10" s="59" t="inlineStr">
        <is>
          <t>English</t>
        </is>
      </c>
      <c r="B10" s="60" t="inlineStr">
        <is>
          <t>Identity in fiction &amp; life writing: short 'who I am' spoken presentation.</t>
        </is>
      </c>
      <c r="C10" s="60" t="inlineStr">
        <is>
          <t>I can prepare and share a short presentation about identity, interests or strengths.</t>
        </is>
      </c>
      <c r="D10" s="60" t="inlineStr">
        <is>
          <t>Arrival task: what makes a speaker clear? → plan 3-point mini presentation → create cue card → rehearse with trusted adult/peer where appropriate → deliver to agreed audience or record → reflection tick sheet.</t>
        </is>
      </c>
      <c r="E10" s="60" t="inlineStr">
        <is>
          <t>presentation, audience, voice, cue card, identity, strength, interest</t>
        </is>
      </c>
      <c r="F10" s="61" t="inlineStr">
        <is>
          <t>Cue-card template; presentation planner; strengths/interests prompt sheet; recording option; Spoken Language evidence sheet.</t>
        </is>
      </c>
      <c r="G10" s="62" t="inlineStr">
        <is>
          <t>F + S</t>
        </is>
      </c>
      <c r="H10" s="61" t="inlineStr">
        <is>
          <t>Agreed audience size; option to present to teacher/TA first; cue cards not full script; recording option; regulation break before/after presenting.</t>
        </is>
      </c>
      <c r="I10" s="61" t="inlineStr">
        <is>
          <t>TA supports rehearsal and regulation. Teacher records spoken evidence and focuses on confidence/progress rather than performance pressure.
LOOP [Feedback Policy]: Voice = short margin edit / re-attempt [//, I/WS] → Audience: read the edit and name the change before adding [R]; one next step [NS] → EVIDENCE: coded book edit; clips for oracy [E: literacy] — live; deferred response only for extended writing.</t>
        </is>
      </c>
      <c r="J10" s="61" t="inlineStr">
        <is>
          <t>To complete after teaching: note who has spoken evidence, confidence level, and who needs a second low-pressure opportunity.  → Influence: shapes the next scaffold and the half-termly plan; SPaG routes to spelling intervention, not margin marking [NS].</t>
        </is>
      </c>
    </row>
    <row r="11" ht="330" customHeight="1" s="47">
      <c r="A11" s="63" t="inlineStr">
        <is>
          <t>Maths</t>
        </is>
      </c>
      <c r="B11" s="64" t="inlineStr">
        <is>
          <t>Place value &amp; the four operations</t>
        </is>
      </c>
      <c r="C11" s="65" t="inlineStr">
        <is>
          <t>I can solve money problems using the four operations.</t>
        </is>
      </c>
      <c r="D11" s="64" t="inlineStr">
        <is>
          <t>Use addition, subtraction, multiplication and division to solve money-related calculations.
Calculate totals, change, discounts and the cost of multiple items.
Solve real-life shopping and budgeting problems.
Compare prices and identify the best value for money.
Interpret receipts, price lists and special offers.
Choose the correct operation to solve different money problems.
Complete fluency, reasoning and problem-solving activities involving money.
Mini enterprise round: price a snack stall, take orders, work out change and profit — a best-value showdown between two rival 'shops' with a live scoreboard.</t>
        </is>
      </c>
      <c r="E11" s="64" t="inlineStr">
        <is>
          <t>Money
Cost
Price
Total
Change
Budget
Spend
Save
Discount
Profit
Loss
Addition
Subtraction
Multiplication
Division
Calculation
Value for money
Estimate
Receipt
Bill</t>
        </is>
      </c>
      <c r="F11" s="64" t="inlineStr">
        <is>
          <t>Real or replica coins and notes
Price lists and shopping catalogues
Receipts and sample bills
Calculators
Whiteboards and pens
Snack-stall props, price labels and a float of coins
Budget planning templates
Interactive whiteboard resources
Vocabulary mats
Real-life scenario cards</t>
        </is>
      </c>
      <c r="G11" s="64" t="inlineStr">
        <is>
          <t>F</t>
        </is>
      </c>
      <c r="H11" s="64" t="inlineStr">
        <is>
          <t>Use practical resources such as coins, notes and shopping activities to support understanding.
Provide worked examples and step-by-step guidance.
Highlight key information and operation words within questions.
Use calculators where appropriate.
Break multi-step problems into smaller stages.
Provide vocabulary mats and visual prompts.
Offer additional adult support and guided practice where needed.
Extend learning through more complex budgeting and financial problem-solving tasks.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1" s="64" t="inlineStr">
        <is>
          <t>Teacher modelling of money calculations using the four operations.
Guided group work and targeted adult support.
Regular reinforcement of money and financial vocabulary.
Use of real-life contexts to increase relevance and engagement.
Visual aids and practical resources available throughout lessons.
Targeted questioning to develop reasoning and operation selection skills.
Ongoing assessment through observation, discussion and marked work.
Positive feedback and opportunities for peer support and collaborative learning.
LOOP [Feedback Policy]: Voice = mini-whiteboard show-me / re-do, verbal reply [VF, I] → Audience: name the corrected step back and tick the success criteria; [R] on an accurate re-do → EVIDENCE: photo of the practical proof + book note, same day [E: numeracy/vocational — daily evidence platform].</t>
        </is>
      </c>
      <c r="J11" s="64" t="inlineStr">
        <is>
          <t>Influence: next task adapted; who needs the method re-modelled shapes grouping and the half-termly plan [NS].</t>
        </is>
      </c>
    </row>
    <row r="12" ht="360" customHeight="1" s="47">
      <c r="A12" s="59" t="inlineStr">
        <is>
          <t>Science</t>
        </is>
      </c>
      <c r="B12" s="62" t="inlineStr">
        <is>
          <t>White Rose Science Year 5/6 - Aut1·W5</t>
        </is>
      </c>
      <c r="C12" s="66" t="inlineStr">
        <is>
          <t>I can plan a fair test, carry it out, and record my results clearly.</t>
        </is>
      </c>
      <c r="D12" s="62" t="inlineStr">
        <is>
          <t>v5 whiteboard deck 'Planning a Fair Test': Name the variables; Run three trials; Judge your own data. Runs across BOTH weekly 40-min periods: Period 1 → up to We Do 2; Period 2 = extended Independent Work → Lundy → Exit, where the practical and the Assessor Witness evidence are made. One print pack covers both periods.</t>
        </is>
      </c>
      <c r="E12" s="62" t="inlineStr">
        <is>
          <t>variable, independent variable, control variable, dependent variable, repeat</t>
        </is>
      </c>
      <c r="F12" s="62" t="inlineStr">
        <is>
          <t>Science_Teesside/Grow/SCI_G_W5_Fair_Test.html (3-tier print pack off the title slide)</t>
        </is>
      </c>
      <c r="G12" s="62" t="inlineStr">
        <is>
          <t>F</t>
        </is>
      </c>
      <c r="H12" s="62" t="inlineStr">
        <is>
          <t>Tiered 3 ways (Supported/Standard/Stretch) at arrival, independent work and exit. Forces work is noisy and physical - trolleys, ramps, dropped masses. Agree the noise signal before equipment comes out, and offer ear defenders without making it a conversation. A pupil may record data instead of running the trial and still be doing the science.</t>
        </is>
      </c>
      <c r="I12" s="67" t="inlineStr">
        <is>
          <t>TA prompts 'what are we changing? what stays the same?'; teacher keeps the change/keep-same mat visible; this plan is carried out in the second half of the week (continuity lowers anxiety).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is>
      </c>
      <c r="J12" s="62" t="inlineStr">
        <is>
          <t>Note who identifies the one thing to change vs who changes several; check they can name what to keep the same.  → Influence: who plans independently now vs at W3 is the clearest progress evidence of the half-term — bank it for ELC 8939 [NS].</t>
        </is>
      </c>
    </row>
    <row r="13" ht="330" customHeight="1" s="47">
      <c r="A13" s="63" t="inlineStr">
        <is>
          <t>PSHE / RSE</t>
        </is>
      </c>
      <c r="B13" s="64" t="inlineStr">
        <is>
          <t>Identity, rights &amp; British values (PSHE Association KS3 + ACT) · AQA UAS 'Rights &amp; responsibilities' · SoW Aut1·W5</t>
        </is>
      </c>
      <c r="C13" s="64" t="inlineStr">
        <is>
          <t>I can explain individual liberty and show how I make safer choices.</t>
        </is>
      </c>
      <c r="D13" s="64" t="inlineStr">
        <is>
          <t>Freedom line-up: place 'free to / not free to' cards along a rope line — where is the line and why? → choice-point freeze-frames: walk through real scenarios (spending, friendships, online) and PAUSE at the decision moment — name the risk, choose, justify → build a personal pocket 'good decision' checklist card to keep.  EVIDENCE: freeze-frame photos + checklist cards (feeds PfA safer decision-making).  GCSE STRETCH: when is freedom limited by law — and should it be?</t>
        </is>
      </c>
      <c r="E13" s="64" t="inlineStr">
        <is>
          <t>liberty, choice, risk, consequence, pressure, safe</t>
        </is>
      </c>
      <c r="F13" s="64" t="inlineStr">
        <is>
          <t>Rope line + freedom cards; scenario walk-through cards; pocket checklist card blanks; camera.</t>
        </is>
      </c>
      <c r="G13" s="64" t="inlineStr">
        <is>
          <t>F</t>
        </is>
      </c>
      <c r="H13" s="64" t="inlineStr">
        <is>
          <t>Scenarios stay third-person; the checklist card is personal and private.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3" s="64" t="inlineStr">
        <is>
          <t>TA shadows the freeze-frames and prompts the pause; teacher narrates the risk-naming step; the pocket cards go home — real transfer.
LOOP [Feedback Policy]: Voice = campaign video / freeze-frame / card + verbal reply [VF] → Audience: name the strength back + one [NS]; listen to clips fully before tagging, then [R] → EVIDENCE: video/card photo to evidence platform, same day [E: PfA/citizenship/social enterprise — daily evidence platform].</t>
        </is>
      </c>
      <c r="J13" s="64" t="inlineStr">
        <is>
          <t>Influence: the W7 pitch shapes the W8 real action; outcomes feed APDR and the citizenship ladder [NS].</t>
        </is>
      </c>
    </row>
    <row r="14" ht="330" customHeight="1" s="47">
      <c r="A14" s="59" t="inlineStr">
        <is>
          <t>RE</t>
        </is>
      </c>
      <c r="B14" s="62" t="inlineStr">
        <is>
          <t>Belief, festivals &amp; belonging (Geography, Kapow + RE)</t>
        </is>
      </c>
      <c r="C14" s="66" t="inlineStr">
        <is>
          <t>I can explain the importance of Christmas and describe its meaning in Christian belief.</t>
        </is>
      </c>
      <c r="D14" s="62" t="inlineStr">
        <is>
          <t>Arrival: 'what is Christmas really about?' — sort images (nativity / decorations / presents) into sacred vs celebration → nativity story via a team race to order the big picture cards → hands-on: Christingle making — every element means something, and pupils must explain the symbolism to 'earn' theirs → photo + spoken explanation for the log.  EVIDENCE: Christingles + explanations (AQA UAS).  GCSE STRETCH: 'incarnation' as a key term — what do Christians believe arrived at Christmas?</t>
        </is>
      </c>
      <c r="E14" s="62" t="inlineStr">
        <is>
          <t>Christmas
Christianity
Jesus
Nativity
Bethlehem
Incarnation
Saviour
Son of God
Advent
Celebration
Worship
Faith
Love
Hope
Peace
Generosity
Tradition</t>
        </is>
      </c>
      <c r="F14" s="62" t="inlineStr">
        <is>
          <t>Sacred/celebration image cards; big nativity sequence cards; Christingle kit (oranges, candles, ribbon, sweets, cocktail sticks); camera.</t>
        </is>
      </c>
      <c r="G14" s="62" t="inlineStr">
        <is>
          <t>F</t>
        </is>
      </c>
      <c r="H14" s="62" t="inlineStr">
        <is>
          <t>The earn-your-Christingle rule makes the explanation purposeful, not a test; spoken answers only.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4" s="67" t="inlineStr">
        <is>
          <t>TA supports Christingle assembly safely; teacher checks each symbolism explanation live before lighting; photos bank the evidence.
LOOP [Feedback Policy]: Voice = defended bid / make + spoken reason / W5 paragraph [VF, //] → Audience: name the comparison back; for the W5 write, one [NS] then response time; [R] after received → EVIDENCE: photo of make/web + W5 paragraph in book [E: RE/enrichment] — W5 deferred.</t>
        </is>
      </c>
      <c r="J14" s="62" t="inlineStr">
        <is>
          <t>Influence: who compares vs describes shapes next week's stem and the half-termly plan [NS].</t>
        </is>
      </c>
    </row>
    <row r="15" ht="330" customHeight="1" s="47">
      <c r="A15" s="63" t="inlineStr">
        <is>
          <t>Humanities</t>
        </is>
      </c>
      <c r="B15" s="62" t="inlineStr">
        <is>
          <t>Kapow History — evaluate the significance of a person or event.</t>
        </is>
      </c>
      <c r="C15" s="66" t="inlineStr">
        <is>
          <t>I can say whether a person or event was important and give one reason.</t>
        </is>
      </c>
      <c r="D15" s="62" t="inlineStr">
        <is>
          <t>Arrival task: 'big deal or small deal?' — rank 3 events on a simple line → model 'it was important because it changed…' → we do: judge one event together and give a reason → you do: place your Week 4 figure/event on an importance line and complete 'important because…' → exit: share your reason with the TA.</t>
        </is>
      </c>
      <c r="E15" s="62" t="inlineStr">
        <is>
          <t>significance, important, event, change, reason, impact, community, judgement, because</t>
        </is>
      </c>
      <c r="F15" s="62" t="inlineStr">
        <is>
          <t>Big-deal/small-deal line; the Week 4 profile cards; reason sentence mat; magenta copies; word bank.</t>
        </is>
      </c>
      <c r="G15" s="62" t="inlineStr">
        <is>
          <t>F</t>
        </is>
      </c>
      <c r="H15" s="62" t="inlineStr">
        <is>
          <t>Physical ranking line makes an abstract judgement concrete; reuses familiar Week 4 people so no new reading. One reason is the target, not a paragraph; verbal answers accepted.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5" s="67" t="inlineStr">
        <is>
          <t>TA prompts 'what changed because of them?'; teacher models a reason; build on last week's wall so learning is cumulative.
LOOP [Feedback Policy]: Voice = source verdict / timeline placement / short account [//, I] → Audience: read against the success criteria and name the change; [R] after received → EVIDENCE: coded book + enquiry photos [E: humanities] — deferred for the written account.</t>
        </is>
      </c>
      <c r="J15" s="62" t="inlineStr">
        <is>
          <t>Note who gives a reason for importance vs who just places the card.  → Influence: the source-use skill shapes the next enquiry's scaffold [NS].</t>
        </is>
      </c>
    </row>
    <row r="16" ht="330" customHeight="1" s="47">
      <c r="A16" s="59" t="inlineStr">
        <is>
          <t>Arts (Arts Award)</t>
        </is>
      </c>
      <c r="B16" s="62" t="inlineStr">
        <is>
          <t>Trinity Arts Award Explore — review and improve my work; arts log.</t>
        </is>
      </c>
      <c r="C16" s="66" t="inlineStr">
        <is>
          <t>I can look at my artwork and make one improvement.</t>
        </is>
      </c>
      <c r="D16" s="62" t="inlineStr">
        <is>
          <t>Arrival task: 'star and a step' — one thing you like, one to change (about a demo piece) → model one small improvement (more colour, add a symbol) → we do: improve the demo together → you do: make one improvement to your identity piece and log it with a before/after photo → exit: 'I improved… by…' stem.</t>
        </is>
      </c>
      <c r="E16" s="62" t="inlineStr">
        <is>
          <t>review, improve, feedback, develop, technique, before, after, evaluate, arts log</t>
        </is>
      </c>
      <c r="F16" s="62" t="inlineStr">
        <is>
          <t>'Star and a step' stem cards; pupils' identity pieces; camera for before/after; arts-log frame; magenta stem sheet; calm workspace.</t>
        </is>
      </c>
      <c r="G16" s="62" t="inlineStr">
        <is>
          <t>F</t>
        </is>
      </c>
      <c r="H16" s="62" t="inlineStr">
        <is>
          <t>Structured 'star and a step' removes fear of open critique; one improvement only. Any medium; verbal log accepted and scribed; effort celebrated (no ranking). Banks Explore development evidence.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6" s="67" t="inlineStr">
        <is>
          <t>TA scribes the log; teacher models kind, specific improvement; before/after photo for the portfolio.
LOOP [Feedback Policy]: Voice = make + arts-log photo + comment [VF] → Audience: listen fully before tagging, one next technique [NS]; then [R] → EVIDENCE: Arts Award Explore log = the accreditation evidence, same day [E: Arts Award].</t>
        </is>
      </c>
      <c r="J16" s="62" t="inlineStr">
        <is>
          <t>Note who acts on feedback vs who resists change; check dated before/after evidence.  → Influence: the log builds toward Explore → Bronze/GCSE ladder; calibrated at moderation [NS].</t>
        </is>
      </c>
    </row>
    <row r="17" ht="45.75" customHeight="1" s="47">
      <c r="A17" s="63" t="inlineStr">
        <is>
          <t>PE</t>
        </is>
      </c>
      <c r="B17" s="64" t="n"/>
      <c r="C17" s="64" t="n"/>
      <c r="D17" s="64" t="n"/>
      <c r="E17" s="64" t="n"/>
      <c r="F17" s="64" t="n"/>
      <c r="G17" s="64" t="n"/>
      <c r="H17" s="64" t="n"/>
      <c r="I17" s="64" t="n"/>
      <c r="J17" s="64" t="n"/>
    </row>
    <row r="18" ht="45.75" customHeight="1" s="47">
      <c r="A18" s="59" t="inlineStr">
        <is>
          <t>Careers / Vocational (ASDAN)</t>
        </is>
      </c>
      <c r="B18" s="62" t="n"/>
      <c r="C18" s="62" t="n"/>
      <c r="D18" s="62" t="n"/>
      <c r="E18" s="62" t="n"/>
      <c r="F18" s="62" t="n"/>
      <c r="G18" s="62" t="n"/>
      <c r="H18" s="62" t="n"/>
      <c r="I18" s="62" t="n"/>
      <c r="J18" s="62" t="n"/>
    </row>
    <row r="20" ht="18" customHeight="1" s="47">
      <c r="A20" s="68" t="inlineStr">
        <is>
          <t>Enrichment &amp; wider opportunities this week   (trips, visitors, themed days, SMSC calendar link, PfA / community)</t>
        </is>
      </c>
    </row>
    <row r="21" ht="117.75" customHeight="1" s="47">
      <c r="A21" s="69" t="inlineStr">
        <is>
          <t>Mon: International Day of Peace assembly — belonging &amp; getting along.  Fri (26 Sep): European Day of Languages — celebrate different languages (tutor time).  Whole-school theme assembly: Identity &amp; Belonging.  PfA / community: a local walk — outdoor regulation, community access and a relaxed chance to talk.</t>
        </is>
      </c>
      <c r="B21" s="70" t="n"/>
      <c r="C21" s="70" t="n"/>
      <c r="D21" s="70" t="n"/>
      <c r="E21" s="70" t="n"/>
      <c r="F21" s="70" t="n"/>
      <c r="G21" s="70" t="n"/>
      <c r="H21" s="70" t="n"/>
      <c r="I21" s="70" t="n"/>
      <c r="J21" s="71" t="n"/>
    </row>
    <row r="22" ht="18" customHeight="1" s="47">
      <c r="A22" s="68" t="inlineStr">
        <is>
          <t>Resources &amp; support to prepare before the week   (printing, kit, bookings, briefing the team)</t>
        </is>
      </c>
    </row>
    <row r="23" ht="141.75" customHeight="1" s="47">
      <c r="A23" s="72" t="inlineStr">
        <is>
          <t>Print: cells picture-label &amp; 'describe a cell' cards, people-bingo &amp; belonging-statement cards, migration event cards + timeline, Arts Award Explore log pages.  Kit: load Cells HTML; playdough / junk (+ optional jelly &amp; sweets — CHECK ALLERGIES &amp; food hygiene) for build-a-cell; giant cell outline &amp; part cards; clay / print &amp; mixed media for Art stations; magnifying glasses.  Brief TA on Pupil A (soft start, take-up time, sharing opt-out).  Confirm any RSHE parental agreement on file if used.</t>
        </is>
      </c>
      <c r="B23" s="70" t="n"/>
      <c r="C23" s="70" t="n"/>
      <c r="D23" s="70" t="n"/>
      <c r="E23" s="70" t="n"/>
      <c r="F23" s="70" t="n"/>
      <c r="G23" s="70" t="n"/>
      <c r="H23" s="70" t="n"/>
      <c r="I23" s="70" t="n"/>
      <c r="J23" s="71" t="n"/>
    </row>
    <row r="24" ht="14.25" customHeight="1" s="47">
      <c r="A24" s="73" t="inlineStr">
        <is>
          <t xml:space="preserve">F = formative  ·  S = summative  ·  PfA = Preparing for Adulthood  </t>
        </is>
      </c>
    </row>
  </sheetData>
  <mergeCells count="9">
    <mergeCell ref="A1:J1"/>
    <mergeCell ref="A23:J23"/>
    <mergeCell ref="A8:J8"/>
    <mergeCell ref="A22:J22"/>
    <mergeCell ref="A21:J21"/>
    <mergeCell ref="A20:J20"/>
    <mergeCell ref="A24:J24"/>
    <mergeCell ref="A2:J2"/>
    <mergeCell ref="B6:D6"/>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8"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8"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5" activeCellId="0" sqref="A5"/>
    </sheetView>
  </sheetViews>
  <sheetFormatPr baseColWidth="8" defaultColWidth="8.5703125" defaultRowHeight="14.25" zeroHeight="0" outlineLevelRow="0"/>
  <cols>
    <col width="16" customWidth="1" style="46" min="1" max="1"/>
    <col width="11" customWidth="1" style="46" min="2" max="2"/>
    <col width="10" customWidth="1" style="46" min="3" max="3"/>
    <col width="15" customWidth="1" style="46" min="4" max="4"/>
    <col width="26" customWidth="1" style="46" min="5" max="5"/>
    <col width="28" customWidth="1" style="46" min="6" max="7"/>
    <col width="18" customWidth="1" style="46" min="8" max="8"/>
    <col width="22" customWidth="1" style="46" min="9" max="9"/>
  </cols>
  <sheetData>
    <row r="1" ht="25.5" customHeight="1" s="47">
      <c r="A1" s="74" t="inlineStr">
        <is>
          <t>Student Adaptations</t>
        </is>
      </c>
    </row>
    <row r="2" ht="14.25" customHeight="1" s="47">
      <c r="A2" s="49" t="n"/>
    </row>
    <row r="4" ht="27.75" customHeight="1" s="47">
      <c r="A4" s="58" t="inlineStr">
        <is>
          <t>Name</t>
        </is>
      </c>
      <c r="B4" s="58" t="inlineStr">
        <is>
          <t>Pathway</t>
        </is>
      </c>
      <c r="C4" s="58" t="inlineStr">
        <is>
          <t>Year / KS</t>
        </is>
      </c>
      <c r="D4" s="58" t="inlineStr">
        <is>
          <t>Reading age band</t>
        </is>
      </c>
      <c r="E4" s="58" t="inlineStr">
        <is>
          <t>Communication / sensory needs</t>
        </is>
      </c>
      <c r="F4" s="58" t="inlineStr">
        <is>
          <t>Key scaffolds &amp; adaptations</t>
        </is>
      </c>
      <c r="G4" s="58" t="inlineStr">
        <is>
          <t>EHCP primary outcomes</t>
        </is>
      </c>
      <c r="H4" s="58" t="inlineStr">
        <is>
          <t>PfA focus</t>
        </is>
      </c>
      <c r="I4" s="58" t="inlineStr">
        <is>
          <t>Notes</t>
        </is>
      </c>
    </row>
    <row r="5" ht="42" customHeight="1" s="47">
      <c r="A5" s="59" t="inlineStr">
        <is>
          <t>Pupil A</t>
        </is>
      </c>
      <c r="B5" s="62" t="inlineStr">
        <is>
          <t>GROW</t>
        </is>
      </c>
      <c r="C5" s="62" t="inlineStr">
        <is>
          <t>KS4</t>
        </is>
      </c>
      <c r="D5" s="75" t="n"/>
      <c r="E5" s="62" t="n"/>
      <c r="F5" s="76" t="n"/>
      <c r="G5" s="64" t="n"/>
      <c r="H5" s="62" t="n"/>
      <c r="I5" s="62" t="n"/>
    </row>
    <row r="6" ht="42" customHeight="1" s="47">
      <c r="A6" s="63" t="inlineStr">
        <is>
          <t>Pupil B</t>
        </is>
      </c>
      <c r="B6" s="62" t="inlineStr">
        <is>
          <t>GROW</t>
        </is>
      </c>
      <c r="C6" s="64" t="inlineStr">
        <is>
          <t>KS4</t>
        </is>
      </c>
      <c r="D6" s="77" t="n"/>
      <c r="E6" s="64" t="n"/>
      <c r="F6" s="64" t="n"/>
      <c r="G6" s="64" t="n"/>
      <c r="H6" s="64" t="n"/>
      <c r="I6" s="64" t="n"/>
    </row>
    <row r="7" ht="42" customHeight="1" s="47">
      <c r="A7" s="78" t="inlineStr">
        <is>
          <t>Pupil C</t>
        </is>
      </c>
      <c r="B7" s="79" t="inlineStr">
        <is>
          <t>GROW</t>
        </is>
      </c>
      <c r="C7" s="79" t="inlineStr">
        <is>
          <t>KS4</t>
        </is>
      </c>
      <c r="D7" s="80" t="n"/>
      <c r="E7" s="79" t="n"/>
      <c r="F7" s="79" t="n"/>
      <c r="G7" s="64" t="n"/>
      <c r="H7" s="79" t="n"/>
      <c r="I7" s="81" t="n"/>
    </row>
    <row r="8" ht="30" customHeight="1" s="47">
      <c r="A8" s="79" t="n"/>
      <c r="B8" s="79" t="n"/>
      <c r="C8" s="79" t="n"/>
      <c r="D8" s="79" t="n"/>
      <c r="E8" s="79" t="n"/>
      <c r="F8" s="79" t="n"/>
      <c r="G8" s="79" t="n"/>
      <c r="H8" s="79" t="n"/>
      <c r="I8" s="79" t="n"/>
    </row>
    <row r="9" ht="30" customHeight="1" s="47">
      <c r="A9" s="82" t="n"/>
      <c r="B9" s="82" t="n"/>
      <c r="C9" s="82" t="n"/>
      <c r="D9" s="82" t="n"/>
      <c r="E9" s="82" t="n"/>
      <c r="F9" s="82" t="n"/>
      <c r="G9" s="82" t="n"/>
      <c r="H9" s="82" t="n"/>
      <c r="I9" s="82" t="n"/>
    </row>
    <row r="10" ht="30" customHeight="1" s="47">
      <c r="A10" s="79" t="n"/>
      <c r="B10" s="79" t="n"/>
      <c r="C10" s="79" t="n"/>
      <c r="D10" s="79" t="n"/>
      <c r="E10" s="79" t="n"/>
      <c r="F10" s="79" t="n"/>
      <c r="G10" s="79" t="n"/>
      <c r="H10" s="79" t="n"/>
      <c r="I10" s="79" t="n"/>
    </row>
    <row r="11" ht="30" customHeight="1" s="47">
      <c r="A11" s="82" t="n"/>
      <c r="B11" s="82" t="n"/>
      <c r="C11" s="82" t="n"/>
      <c r="D11" s="82" t="n"/>
      <c r="E11" s="82" t="n"/>
      <c r="F11" s="82" t="n"/>
      <c r="G11" s="82" t="n"/>
      <c r="H11" s="82" t="n"/>
      <c r="I11" s="82" t="n"/>
    </row>
    <row r="12" ht="30" customHeight="1" s="47">
      <c r="A12" s="79" t="n"/>
      <c r="B12" s="79" t="n"/>
      <c r="C12" s="79" t="n"/>
      <c r="D12" s="79" t="n"/>
      <c r="E12" s="79" t="n"/>
      <c r="F12" s="79" t="n"/>
      <c r="G12" s="79" t="n"/>
      <c r="H12" s="79" t="n"/>
      <c r="I12" s="79" t="n"/>
    </row>
    <row r="13" ht="30" customHeight="1" s="47">
      <c r="A13" s="82" t="n"/>
      <c r="B13" s="82" t="n"/>
      <c r="C13" s="82" t="n"/>
      <c r="D13" s="82" t="n"/>
      <c r="E13" s="82" t="n"/>
      <c r="F13" s="82" t="n"/>
      <c r="G13" s="82" t="n"/>
      <c r="H13" s="82" t="n"/>
      <c r="I13" s="82" t="n"/>
    </row>
    <row r="14" ht="30" customHeight="1" s="47">
      <c r="A14" s="79" t="n"/>
      <c r="B14" s="79" t="n"/>
      <c r="C14" s="79" t="n"/>
      <c r="D14" s="79" t="n"/>
      <c r="E14" s="79" t="n"/>
      <c r="F14" s="79" t="n"/>
      <c r="G14" s="79" t="n"/>
      <c r="H14" s="79" t="n"/>
      <c r="I14" s="79" t="n"/>
    </row>
    <row r="15" ht="30" customHeight="1" s="47">
      <c r="A15" s="82" t="n"/>
      <c r="B15" s="82" t="n"/>
      <c r="C15" s="82" t="n"/>
      <c r="D15" s="82" t="n"/>
      <c r="E15" s="82" t="n"/>
      <c r="F15" s="82" t="n"/>
      <c r="G15" s="82" t="n"/>
      <c r="H15" s="82" t="n"/>
      <c r="I15" s="82" t="n"/>
    </row>
    <row r="16" ht="30" customHeight="1" s="47">
      <c r="A16" s="79" t="n"/>
      <c r="B16" s="79" t="n"/>
      <c r="C16" s="79" t="n"/>
      <c r="D16" s="79" t="n"/>
      <c r="E16" s="79" t="n"/>
      <c r="F16" s="79" t="n"/>
      <c r="G16" s="79" t="n"/>
      <c r="H16" s="79" t="n"/>
      <c r="I16" s="79" t="n"/>
    </row>
    <row r="17" ht="30" customHeight="1" s="47">
      <c r="A17" s="82" t="n"/>
      <c r="B17" s="82" t="n"/>
      <c r="C17" s="82" t="n"/>
      <c r="D17" s="82" t="n"/>
      <c r="E17" s="82" t="n"/>
      <c r="F17" s="82" t="n"/>
      <c r="G17" s="82" t="n"/>
      <c r="H17" s="82" t="n"/>
      <c r="I17" s="82" t="n"/>
    </row>
    <row r="18" ht="30" customHeight="1" s="47">
      <c r="A18" s="79" t="n"/>
      <c r="B18" s="79" t="n"/>
      <c r="C18" s="79" t="n"/>
      <c r="D18" s="79" t="n"/>
      <c r="E18" s="79" t="n"/>
      <c r="F18" s="79" t="n"/>
      <c r="G18" s="79" t="n"/>
      <c r="H18" s="79" t="n"/>
      <c r="I18" s="79" t="n"/>
    </row>
    <row r="19" ht="30" customHeight="1" s="47">
      <c r="A19" s="82" t="n"/>
      <c r="B19" s="82" t="n"/>
      <c r="C19" s="82" t="n"/>
      <c r="D19" s="82" t="n"/>
      <c r="E19" s="82" t="n"/>
      <c r="F19" s="82" t="n"/>
      <c r="G19" s="82" t="n"/>
      <c r="H19" s="82" t="n"/>
      <c r="I19" s="82" t="n"/>
    </row>
  </sheetData>
  <mergeCells count="2">
    <mergeCell ref="A1:I1"/>
    <mergeCell ref="A2:I2"/>
  </mergeCells>
  <conditionalFormatting sqref="B5:B7">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conditionalFormatting sqref="B8:B19">
    <cfRule type="cellIs" rank="0" priority="5" equalAverage="0" operator="equal" aboveAverage="0" dxfId="0" text="" percent="0" bottom="0">
      <formula>"BUILD"</formula>
    </cfRule>
    <cfRule type="cellIs" rank="0" priority="6" equalAverage="0" operator="equal" aboveAverage="0" dxfId="1" text="" percent="0" bottom="0">
      <formula>"GROW"</formula>
    </cfRule>
    <cfRule type="cellIs" rank="0" priority="7"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5703125" defaultRowHeight="14.25" zeroHeight="0" outlineLevelRow="0"/>
  <cols>
    <col width="12" customWidth="1" style="46" min="1" max="1"/>
    <col width="11" customWidth="1" style="46" min="2" max="2"/>
    <col width="16" customWidth="1" style="46" min="3" max="3"/>
    <col width="28" customWidth="1" style="46" min="4" max="4"/>
    <col width="24" customWidth="1" style="46" min="5" max="5"/>
    <col width="9" customWidth="1" style="46" min="6" max="6"/>
    <col width="24" customWidth="1" style="46" min="7" max="7"/>
    <col width="18" customWidth="1" style="46" min="8" max="8"/>
    <col width="26" customWidth="1" style="46" min="9" max="9"/>
  </cols>
  <sheetData>
    <row r="1" ht="25.5" customHeight="1" s="47">
      <c r="A1" s="83" t="inlineStr">
        <is>
          <t xml:space="preserve">Outcome Tracker </t>
        </is>
      </c>
    </row>
    <row r="2" ht="14.25" customHeight="1" s="47">
      <c r="A2" s="84" t="inlineStr">
        <is>
          <t xml:space="preserve">Did everyone make progress and meet the outcome? </t>
        </is>
      </c>
    </row>
    <row r="3" ht="18" customHeight="1" s="47">
      <c r="A3" s="85" t="inlineStr">
        <is>
          <t>GREEN</t>
        </is>
      </c>
      <c r="B3" s="86" t="inlineStr">
        <is>
          <t>All demonstrated progress &amp; achieved the outcome</t>
        </is>
      </c>
      <c r="D3" s="87" t="inlineStr">
        <is>
          <t>AMBER</t>
        </is>
      </c>
      <c r="E3" s="86" t="inlineStr">
        <is>
          <t>Partly met, revisit in class</t>
        </is>
      </c>
      <c r="G3" s="88" t="inlineStr">
        <is>
          <t>RED</t>
        </is>
      </c>
      <c r="H3" s="86" t="inlineStr">
        <is>
          <t>Not met, pick up through intervention</t>
        </is>
      </c>
    </row>
    <row r="4"/>
    <row r="5" ht="27.75" customHeight="1" s="47">
      <c r="A5" s="58" t="inlineStr">
        <is>
          <t>Week (w/c)</t>
        </is>
      </c>
      <c r="B5" s="58" t="inlineStr">
        <is>
          <t>Pathway</t>
        </is>
      </c>
      <c r="C5" s="58" t="inlineStr">
        <is>
          <t>Subject</t>
        </is>
      </c>
      <c r="D5" s="58" t="inlineStr">
        <is>
          <t>Outcome reviewed</t>
        </is>
      </c>
      <c r="E5" s="58" t="inlineStr">
        <is>
          <t>Marking / evidence</t>
        </is>
      </c>
      <c r="F5" s="58" t="inlineStr">
        <is>
          <t>RAG</t>
        </is>
      </c>
      <c r="G5" s="58" t="inlineStr">
        <is>
          <t>Students not yet secure</t>
        </is>
      </c>
      <c r="H5" s="58" t="inlineStr">
        <is>
          <t>Picked up via</t>
        </is>
      </c>
      <c r="I5" s="58" t="inlineStr">
        <is>
          <t>Action &amp; timescale</t>
        </is>
      </c>
    </row>
    <row r="6" ht="30" customHeight="1" s="47">
      <c r="A6" s="89" t="n">
        <v>46294</v>
      </c>
      <c r="B6" s="62" t="inlineStr">
        <is>
          <t>GROW</t>
        </is>
      </c>
      <c r="C6" s="79" t="inlineStr">
        <is>
          <t>English</t>
        </is>
      </c>
      <c r="D6" s="60" t="inlineStr">
        <is>
          <t>Students prepared and either delivered, rehearsed or recorded a short 'who I am' spoken presentation with support.</t>
        </is>
      </c>
      <c r="E6" s="79" t="n"/>
      <c r="F6" s="79" t="n"/>
      <c r="G6" s="79" t="n"/>
      <c r="H6" s="79" t="n"/>
      <c r="I6" s="79" t="n"/>
    </row>
    <row r="7" ht="30" customHeight="1" s="47">
      <c r="A7" s="89" t="n">
        <v>46293</v>
      </c>
      <c r="B7" s="62" t="inlineStr">
        <is>
          <t>GROW</t>
        </is>
      </c>
      <c r="C7" s="79" t="inlineStr">
        <is>
          <t>Maths</t>
        </is>
      </c>
      <c r="D7" s="65" t="inlineStr">
        <is>
          <t>I can solve money problems using the four operations.</t>
        </is>
      </c>
      <c r="E7" s="79" t="n"/>
      <c r="F7" s="79" t="n"/>
      <c r="G7" s="79" t="n"/>
      <c r="H7" s="79" t="n"/>
      <c r="I7" s="79" t="n"/>
    </row>
    <row r="8" ht="30" customHeight="1" s="47">
      <c r="A8" s="89" t="n">
        <v>46293</v>
      </c>
      <c r="B8" s="62" t="inlineStr">
        <is>
          <t>GROW</t>
        </is>
      </c>
      <c r="C8" s="62" t="inlineStr">
        <is>
          <t>Science</t>
        </is>
      </c>
      <c r="D8" s="62" t="inlineStr">
        <is>
          <t>I can plan a fair test, carry it out, and record my results clearly.</t>
        </is>
      </c>
      <c r="E8" s="62" t="n"/>
      <c r="F8" s="62" t="n"/>
      <c r="G8" s="62" t="n"/>
      <c r="H8" s="62" t="n"/>
      <c r="I8" s="62" t="n"/>
    </row>
    <row r="9" ht="30" customHeight="1" s="47">
      <c r="A9" s="89" t="n">
        <v>46293</v>
      </c>
      <c r="B9" s="62" t="inlineStr">
        <is>
          <t>GROW</t>
        </is>
      </c>
      <c r="C9" s="62" t="inlineStr">
        <is>
          <t>PSHE / RSE</t>
        </is>
      </c>
      <c r="D9" s="62" t="inlineStr">
        <is>
          <t>I can explain individual liberty and show how I make safer choices.</t>
        </is>
      </c>
      <c r="E9" s="62" t="n"/>
      <c r="F9" s="62" t="n"/>
      <c r="G9" s="62" t="n"/>
      <c r="H9" s="62" t="n"/>
      <c r="I9" s="62" t="n"/>
    </row>
    <row r="10" ht="30" customHeight="1" s="47">
      <c r="A10" s="89" t="n">
        <v>46293</v>
      </c>
      <c r="B10" s="62" t="inlineStr">
        <is>
          <t>GROW</t>
        </is>
      </c>
      <c r="C10" s="62" t="inlineStr">
        <is>
          <t>Humanities</t>
        </is>
      </c>
      <c r="D10" s="62" t="inlineStr">
        <is>
          <t>I can say whether a person or event was important and give one reason.</t>
        </is>
      </c>
      <c r="E10" s="62" t="n"/>
      <c r="F10" s="62" t="n"/>
      <c r="G10" s="62" t="n"/>
      <c r="H10" s="62" t="n"/>
      <c r="I10" s="62" t="n"/>
    </row>
    <row r="11" ht="30" customHeight="1" s="47">
      <c r="A11" s="89" t="n">
        <v>46293</v>
      </c>
      <c r="B11" s="62" t="inlineStr">
        <is>
          <t>GROW</t>
        </is>
      </c>
      <c r="C11" s="62" t="inlineStr">
        <is>
          <t>Arts (Arts Award)</t>
        </is>
      </c>
      <c r="D11" s="62" t="inlineStr">
        <is>
          <t>I can look at my artwork and make one improvement.</t>
        </is>
      </c>
      <c r="E11" s="62" t="n"/>
      <c r="F11" s="62" t="n"/>
      <c r="G11" s="62" t="n"/>
      <c r="H11" s="62" t="n"/>
      <c r="I11" s="62" t="n"/>
    </row>
    <row r="12" ht="30" customHeight="1" s="47">
      <c r="A12" s="89" t="n">
        <v>46293</v>
      </c>
      <c r="B12" s="62" t="inlineStr">
        <is>
          <t>GROW</t>
        </is>
      </c>
      <c r="C12" s="82" t="inlineStr">
        <is>
          <t>RE</t>
        </is>
      </c>
      <c r="D12" s="66" t="inlineStr">
        <is>
          <t>I can explain the importance of Christmas and describe its meaning in Christian belief.</t>
        </is>
      </c>
      <c r="E12" s="82" t="n"/>
      <c r="F12" s="82" t="n"/>
      <c r="G12" s="82" t="n"/>
      <c r="H12" s="82" t="n"/>
      <c r="I12" s="82" t="n"/>
    </row>
    <row r="13" ht="30" customHeight="1" s="47">
      <c r="A13" s="82" t="n"/>
      <c r="B13" s="82" t="n"/>
      <c r="C13" s="82" t="n"/>
      <c r="D13" s="82" t="n"/>
      <c r="E13" s="82" t="n"/>
      <c r="F13" s="82" t="n"/>
      <c r="G13" s="82" t="n"/>
      <c r="H13" s="82" t="n"/>
      <c r="I13" s="82" t="n"/>
    </row>
    <row r="14" ht="30" customHeight="1" s="47">
      <c r="A14" s="79" t="n"/>
      <c r="B14" s="79" t="n"/>
      <c r="C14" s="79" t="n"/>
      <c r="D14" s="79" t="n"/>
      <c r="E14" s="79" t="n"/>
      <c r="F14" s="79" t="n"/>
      <c r="G14" s="79" t="n"/>
      <c r="H14" s="79" t="n"/>
      <c r="I14" s="79" t="n"/>
    </row>
    <row r="15" ht="25.5" customHeight="1" s="47">
      <c r="A15" s="82" t="n"/>
      <c r="B15" s="82" t="n"/>
      <c r="C15" s="82" t="n"/>
      <c r="D15" s="82" t="n"/>
      <c r="E15" s="82" t="n"/>
      <c r="F15" s="82" t="n"/>
      <c r="G15" s="82" t="n"/>
      <c r="H15" s="82" t="n"/>
      <c r="I15" s="82" t="n"/>
    </row>
    <row r="16" ht="25.5" customHeight="1" s="47">
      <c r="A16" s="79" t="n"/>
      <c r="B16" s="79" t="n"/>
      <c r="C16" s="79" t="n"/>
      <c r="D16" s="79" t="n"/>
      <c r="E16" s="79" t="n"/>
      <c r="F16" s="79" t="n"/>
      <c r="G16" s="79" t="n"/>
      <c r="H16" s="79" t="n"/>
      <c r="I16" s="79" t="n"/>
    </row>
    <row r="17" ht="25.5" customHeight="1" s="47">
      <c r="A17" s="82" t="n"/>
      <c r="B17" s="82" t="n"/>
      <c r="C17" s="82" t="n"/>
      <c r="D17" s="82" t="n"/>
      <c r="E17" s="82" t="n"/>
      <c r="F17" s="82" t="n"/>
      <c r="G17" s="82" t="n"/>
      <c r="H17" s="82" t="n"/>
      <c r="I17" s="82" t="n"/>
    </row>
    <row r="18" ht="25.5" customHeight="1" s="47">
      <c r="A18" s="79" t="n"/>
      <c r="B18" s="79" t="n"/>
      <c r="C18" s="79" t="n"/>
      <c r="D18" s="79" t="n"/>
      <c r="E18" s="79" t="n"/>
      <c r="F18" s="79" t="n"/>
      <c r="G18" s="79" t="n"/>
      <c r="H18" s="79" t="n"/>
      <c r="I18" s="79" t="n"/>
    </row>
    <row r="19" ht="25.5" customHeight="1" s="47">
      <c r="A19" s="82" t="n"/>
      <c r="B19" s="82" t="n"/>
      <c r="C19" s="82" t="n"/>
      <c r="D19" s="82" t="n"/>
      <c r="E19" s="82" t="n"/>
      <c r="F19" s="82" t="n"/>
      <c r="G19" s="82" t="n"/>
      <c r="H19" s="82" t="n"/>
      <c r="I19" s="82" t="n"/>
    </row>
    <row r="20" ht="25.5" customHeight="1" s="47">
      <c r="A20" s="79" t="n"/>
      <c r="B20" s="79" t="n"/>
      <c r="C20" s="79" t="n"/>
      <c r="D20" s="79" t="n"/>
      <c r="E20" s="79" t="n"/>
      <c r="F20" s="79" t="n"/>
      <c r="G20" s="79" t="n"/>
      <c r="H20" s="79" t="n"/>
      <c r="I20" s="79" t="n"/>
    </row>
    <row r="21" ht="25.5" customHeight="1" s="47">
      <c r="A21" s="82" t="n"/>
      <c r="B21" s="82" t="n"/>
      <c r="C21" s="82" t="n"/>
      <c r="D21" s="82" t="n"/>
      <c r="E21" s="82" t="n"/>
      <c r="F21" s="82" t="n"/>
      <c r="G21" s="82" t="n"/>
      <c r="H21" s="82" t="n"/>
      <c r="I21" s="82" t="n"/>
    </row>
    <row r="22" ht="25.5" customHeight="1" s="47"/>
    <row r="23" ht="25.5" customHeight="1" s="47">
      <c r="C23" s="90" t="inlineStr">
        <is>
          <t>This sheet:</t>
        </is>
      </c>
      <c r="D23" s="91">
        <f>COUNTIF($F$8:$F$18,"Green")</f>
        <v/>
      </c>
      <c r="E23" s="92">
        <f>COUNTIF($F$8:$F$18,"Amber")</f>
        <v/>
      </c>
      <c r="F23" s="93">
        <f>COUNTIF($F$8:$F$18,"Red")</f>
        <v/>
      </c>
    </row>
    <row r="24" ht="25.5" customHeight="1" s="47">
      <c r="D24" s="94" t="inlineStr">
        <is>
          <t>Green</t>
        </is>
      </c>
      <c r="E24" s="94" t="inlineStr">
        <is>
          <t>Amber</t>
        </is>
      </c>
      <c r="F24" s="94" t="inlineStr">
        <is>
          <t>Red</t>
        </is>
      </c>
    </row>
    <row r="25" ht="25.5" customHeight="1" s="47"/>
    <row r="26" ht="25.5" customHeight="1" s="47"/>
    <row r="27" ht="15" customHeight="1" s="47"/>
    <row r="28" ht="15" customHeight="1" s="47"/>
  </sheetData>
  <mergeCells count="5">
    <mergeCell ref="A2:I2"/>
    <mergeCell ref="B3:C3"/>
    <mergeCell ref="A1:I1"/>
    <mergeCell ref="E3:F3"/>
    <mergeCell ref="H3:I3"/>
  </mergeCells>
  <conditionalFormatting sqref="F6:F26">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6" showDropDown="0" showInputMessage="0" showErrorMessage="0" allowBlank="1" errorTitle="Choose from the list" error="Pick a value from the list." type="list" errorStyle="stop" operator="between">
      <formula1>"BUILD,GROW,LAUNCH"</formula1>
      <formula2>0</formula2>
    </dataValidation>
    <dataValidation sqref="C6:C26"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6:F26" showDropDown="0" showInputMessage="0" showErrorMessage="0" allowBlank="1" errorTitle="Choose from the list" error="Pick a value from the list." type="list" errorStyle="stop" operator="between">
      <formula1>"Green,Amber,Red"</formula1>
      <formula2>0</formula2>
    </dataValidation>
    <dataValidation sqref="H6:H26"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2026-07-29T16:31:01Z</dcterms:modified>
  <cp:lastModifiedBy>Graham Lancaster</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